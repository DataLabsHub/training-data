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12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ecision Summary" sheetId="1" state="visible" r:id="rId2"/>
    <sheet name="Lot Dispositions" sheetId="2" state="visible" r:id="rId3"/>
    <sheet name="Quantity Reconciliation" sheetId="3" state="visible" r:id="rId4"/>
    <sheet name="Financial Bridge" sheetId="4" state="visible" r:id="rId5"/>
    <sheet name="Contract Cure Controls" sheetId="5" state="visible" r:id="rId6"/>
    <sheet name="Registry Lineage" sheetId="6" state="visible" r:id="rId7"/>
    <sheet name="Eligibility" sheetId="7" state="visible" r:id="rId8"/>
    <sheet name="Cover Custody" sheetId="8" state="visible" r:id="rId9"/>
    <sheet name="Qualification Exception" sheetId="9" state="visible" r:id="rId10"/>
    <sheet name="Inventory Posting" sheetId="10" state="visible" r:id="rId11"/>
    <sheet name="Action Register" sheetId="11" state="visible" r:id="rId12"/>
    <sheet name="Evidence Index" sheetId="12" state="visible" r:id="rId13"/>
  </sheets>
  <definedNames>
    <definedName function="false" hidden="true" localSheetId="0" name="_xlnm._FilterDatabase" vbProcedure="false">'Decision Summary'!$A$4:$H$30</definedName>
    <definedName function="false" hidden="true" localSheetId="11" name="_xlnm._FilterDatabase" vbProcedure="false">'Evidence Index'!$A$3:$E$26</definedName>
    <definedName function="false" hidden="true" localSheetId="1" name="_xlnm._FilterDatabase" vbProcedure="false">'Lot Dispositions'!$A$3:$U$9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<sst xmlns="http://schemas.openxmlformats.org/spreadsheetml/2006/main" count="874" uniqueCount="706">
  <si>
    <t xml:space="preserve">DECISION SUMMARY — CY2024 MA CLASS I REC SETTLEMENT</t>
  </si>
  <si>
    <t xml:space="preserve">As of 2025-06-09 12:00 EDT | Contract REC-2024-017 | Prepared for Procurement and Accounting</t>
  </si>
  <si>
    <t xml:space="preserve">Recommended decision</t>
  </si>
  <si>
    <t xml:space="preserve">Decision</t>
  </si>
  <si>
    <t xml:space="preserve">APPROVE USD 16,920; dispute USD 1,080 of INV-2025-0617</t>
  </si>
  <si>
    <t xml:space="preserve">Supported by the accepted-quantity and cover-differential bridges.</t>
  </si>
  <si>
    <t xml:space="preserve">Audit locator</t>
  </si>
  <si>
    <t xml:space="preserve">Financial Bridge!A4:F15</t>
  </si>
  <si>
    <t xml:space="preserve">Seller delivery accepted (RECs)</t>
  </si>
  <si>
    <t xml:space="preserve">950 current-year Class I RECs; no duplicate serials.</t>
  </si>
  <si>
    <t xml:space="preserve">Lot Dispositions!A4:U9</t>
  </si>
  <si>
    <t xml:space="preserve">Buyer cover admitted to inventory (RECs)</t>
  </si>
  <si>
    <t xml:space="preserve">40; exact allocation reached BSC-MA-4421 before cutoff.</t>
  </si>
  <si>
    <t xml:space="preserve">Cover Custody!A4:L4</t>
  </si>
  <si>
    <t xml:space="preserve">Residual shortfall (RECs)</t>
  </si>
  <si>
    <t xml:space="preserve">10 remains open; not treated as accepted or covered.</t>
  </si>
  <si>
    <t xml:space="preserve">Action Register!A5:G5</t>
  </si>
  <si>
    <t xml:space="preserve">Close requirement reconciliation</t>
  </si>
  <si>
    <t xml:space="preserve">950 seller + 40 cover + 10 residual = 1,000.</t>
  </si>
  <si>
    <t xml:space="preserve">Inventory Posting!A4:F9</t>
  </si>
  <si>
    <t xml:space="preserve">Financial recommendation</t>
  </si>
  <si>
    <t xml:space="preserve">Seller invoice billed</t>
  </si>
  <si>
    <t xml:space="preserve">USD</t>
  </si>
  <si>
    <t xml:space="preserve">Invoice INV-2025-0617 p.1; Accounting/Invoice Ledger.csv row 2, fields booked_amount_usd and approval_status.</t>
  </si>
  <si>
    <t xml:space="preserve">Gross accepted seller value</t>
  </si>
  <si>
    <t xml:space="preserve">Contracts/REC Purchase Confirmation REC-2024-017.pdf p.1 §2; Lot Dispositions accepted quantities.</t>
  </si>
  <si>
    <t xml:space="preserve">Recoverable cover differential</t>
  </si>
  <si>
    <t xml:space="preserve">Contracts/Amendment 1 - Cure and Cover.pdf p.3 §3; executed BRK-88402 visual pair.</t>
  </si>
  <si>
    <t xml:space="preserve">Prior credits</t>
  </si>
  <si>
    <t xml:space="preserve">Accounting/Invoice Ledger.csv row 2, field prior_credits_usd = 0.00.</t>
  </si>
  <si>
    <t xml:space="preserve">Net seller payable to approve</t>
  </si>
  <si>
    <t xml:space="preserve">Financial Bridge formula: 17,100 - 180 - 0 = 16,920.</t>
  </si>
  <si>
    <t xml:space="preserve">Amount to dispute vs billed invoice</t>
  </si>
  <si>
    <t xml:space="preserve">Financial Bridge formula: 18,000 - 16,920 = 1,080.</t>
  </si>
  <si>
    <t xml:space="preserve">Authority, remedy, custody, and close controls</t>
  </si>
  <si>
    <t xml:space="preserve">Amendment authentication</t>
  </si>
  <si>
    <t xml:space="preserve">PASS — bilateral signatures dated 2025-05-20 and matching AMD-REC-017-A1 reverse received 2025-05-20 15:42 EDT.</t>
  </si>
  <si>
    <t xml:space="preserve">Contracts/Amendment 1 - Cure and Cover.pdf p.5 embedded signature image and p.6 embedded receipt-control reverse.</t>
  </si>
  <si>
    <t xml:space="preserve">Source precedence</t>
  </si>
  <si>
    <t xml:space="preserve">PASS — 225 CMR/DOER control eligibility; registry controls custody; authenticated Amendment 1 controls only cure, cover, and differential; base confirmation otherwise applies; EPA guide is noncontrolling.</t>
  </si>
  <si>
    <t xml:space="preserve">Contracts/Amendment 1 - Cure and Cover.pdf pp.1,5-6; Contracts/REC Purchase Confirmation REC-2024-017.pdf p.4 §§7-8; References/Program Authority Locator Index.md, Authority order.</t>
  </si>
  <si>
    <t xml:space="preserve">Cure authorization</t>
  </si>
  <si>
    <t xml:space="preserve">PASS — EXC-24017 notice delivered 2025-06-03 16:18; substitute delivery alone elected and received 2025-06-06 16:41; transfers completed before 17:00. Election authorized independent testing; it did not guarantee acceptance.</t>
  </si>
  <si>
    <t xml:space="preserve">Correspondence/Prior Exception Notice EXC-24017.pdf pp.1-2 (p.2 embedded receipt image); Correspondence/Seller Cure Election EXC-24017.docx embedded word/media/image1.jpg; Amendment p.2 §2; Registry Evidence/Account Event Export.csv rows 6-7.</t>
  </si>
  <si>
    <t xml:space="preserve">Cover custody</t>
  </si>
  <si>
    <t xml:space="preserve">PASS — BRK-88402 / ALLOC-88402-A / TX-772044, MSS424 2024Q4 004101-004140, settled to BSC-MA-4421 at 11:18:06 EDT. Inventory admission uses custody; damage uses executed fill.</t>
  </si>
  <si>
    <t xml:space="preserve">Registry Evidence/Cover Custody Confirmation BRK-88402.pdf pp.1-2 embedded images; Procurement/Cover Trade Capture BRK-88402.pdf p.1 embedded terminal view; Cover Custody!A4:L4.</t>
  </si>
  <si>
    <t xml:space="preserve">Qualification exception</t>
  </si>
  <si>
    <t xml:space="preserve">PASS — QX-38983-2025 for LOT-D/NON38983/MA RPS 1015-02 progressed REVIEW_HOLD → EVIDENCE_MATCHED → RELEASED at 11:36:20 EDT by Compliance Qualification Manager. Internal release gates settlement only; it does not create program eligibility.</t>
  </si>
  <si>
    <t xml:space="preserve">Compliance/Unit Qualification Exception Log QX-38983-2025.csv rows 4,6,8; References/RPS Class I Qualified Units.xlsx Generation Units!A18:L18.</t>
  </si>
  <si>
    <t xml:space="preserve">Unresolved conflict check</t>
  </si>
  <si>
    <t xml:space="preserve">No unresolved evidence conflict remains at cutoff. Stale 09:30 export is superseded only for LOT-C by paired live 10:03:11 reversal evidence; duplicate REPL-C serials are excluded; residual 10 remains an operational shortfall, not an evidence conflict.</t>
  </si>
  <si>
    <t xml:space="preserve">Registry Evidence/Account Event Export.csv row 2 metadata and row 5 LOT-C transfer; Registry Evidence/Final Lot Review Packet.pdf pp.1-2,4 embedded images; Registry Evidence/Exception Markup.docx embedded image1-image4.</t>
  </si>
  <si>
    <t xml:space="preserve">Required actions and separate clocks</t>
  </si>
  <si>
    <t xml:space="preserve">Send supported invoice dispute</t>
  </si>
  <si>
    <t xml:space="preserve">Procurement + Legal; Accounting records hold</t>
  </si>
  <si>
    <t xml:space="preserve">2025-06-16 17:00 EDT</t>
  </si>
  <si>
    <t xml:space="preserve">Contracts/REC Purchase Confirmation REC-2024-017.pdf p.3 §6; Compliance/June Close Calendar.pdf p.1.</t>
  </si>
  <si>
    <t xml:space="preserve">Acquire/resolve residual 10 RECs and document final GIS ownership</t>
  </si>
  <si>
    <t xml:space="preserve">Energy Procurement + Registry Operations</t>
  </si>
  <si>
    <t xml:space="preserve">Before compliance inventory is finalized; monitor through filing readiness</t>
  </si>
  <si>
    <t xml:space="preserve">Amendment p.3 §3; References/225 CMR 14.00 Class I.pdf p.34 §14.09(2)(c).</t>
  </si>
  <si>
    <t xml:space="preserve">Maintain CY2024 Class I filing readiness and ownership support</t>
  </si>
  <si>
    <t xml:space="preserve">Compliance</t>
  </si>
  <si>
    <t xml:space="preserve">2025-07-01 (authority states date; no time invented)</t>
  </si>
  <si>
    <t xml:space="preserve">References/225 CMR 14.00 Class I.pdf p.34 §14.09(1)-(2)(c); Compliance/June Close Calendar.pdf p.1.</t>
  </si>
  <si>
    <t xml:space="preserve">LOT DISPOSITIONS</t>
  </si>
  <si>
    <t xml:space="preserve">Each original and replacement lot has one final lot-level disposition. Deficient quantity is tendered quantity not accepted from that row; remedy-chain consequences are stated separately.</t>
  </si>
  <si>
    <t xml:space="preserve">Lot</t>
  </si>
  <si>
    <t xml:space="preserve">Role</t>
  </si>
  <si>
    <t xml:space="preserve">GIS Unit</t>
  </si>
  <si>
    <t xml:space="preserve">MA RPS No.</t>
  </si>
  <si>
    <t xml:space="preserve">Qualified Unit</t>
  </si>
  <si>
    <t xml:space="preserve">Generation Period</t>
  </si>
  <si>
    <t xml:space="preserve">Serial Start</t>
  </si>
  <si>
    <t xml:space="preserve">Serial End</t>
  </si>
  <si>
    <t xml:space="preserve">Tender Qty</t>
  </si>
  <si>
    <t xml:space="preserve">Program Eligibility</t>
  </si>
  <si>
    <t xml:space="preserve">Registry Custody at Cutoff</t>
  </si>
  <si>
    <t xml:space="preserve">Unique Eligible Qty</t>
  </si>
  <si>
    <t xml:space="preserve">Internal Close Gate</t>
  </si>
  <si>
    <t xml:space="preserve">Final Lot Disposition</t>
  </si>
  <si>
    <t xml:space="preserve">Accepted Qty</t>
  </si>
  <si>
    <t xml:space="preserve">Deficient Qty</t>
  </si>
  <si>
    <t xml:space="preserve">Remedy Path</t>
  </si>
  <si>
    <t xml:space="preserve">Responsible Party</t>
  </si>
  <si>
    <t xml:space="preserve">Timing Consequence</t>
  </si>
  <si>
    <t xml:space="preserve">Seller Financial Effect</t>
  </si>
  <si>
    <t xml:space="preserve">Precise Public Evidence</t>
  </si>
  <si>
    <t xml:space="preserve">LOT-A</t>
  </si>
  <si>
    <t xml:space="preserve">Original</t>
  </si>
  <si>
    <t xml:space="preserve">MSS424</t>
  </si>
  <si>
    <t xml:space="preserve">7031-24</t>
  </si>
  <si>
    <t xml:space="preserve">Weldon</t>
  </si>
  <si>
    <t xml:space="preserve">2024Q2</t>
  </si>
  <si>
    <t xml:space="preserve">ELIGIBLE — generation after 2024-01-01; no output limitation</t>
  </si>
  <si>
    <t xml:space="preserve">BUYER HELD — TX-770101 completed to BSC-MA-4421</t>
  </si>
  <si>
    <t xml:space="preserve">400 — original priority</t>
  </si>
  <si>
    <t xml:space="preserve">N/A</t>
  </si>
  <si>
    <t xml:space="preserve">ACCEPT — original lot</t>
  </si>
  <si>
    <t xml:space="preserve">None</t>
  </si>
  <si>
    <t xml:space="preserve">Seller</t>
  </si>
  <si>
    <t xml:space="preserve">Settled before cutoff</t>
  </si>
  <si>
    <t xml:space="preserve">$7,200.00</t>
  </si>
  <si>
    <t xml:space="preserve">Delivery/Final Delivery Statement 2025-06-09.xlsx Tender Lots!A2:I2; References/RPS Class I Qualified Units.xlsx Generation Units!A110:L110 and Notes!A5; Registry Evidence/Account Event Export.csv row 3 fields lot_id through event_status; Final Lot Review Packet.pdf p.4 embedded range matrix confirms original priority geometry.</t>
  </si>
  <si>
    <t xml:space="preserve">LOT-B</t>
  </si>
  <si>
    <t xml:space="preserve">NON208580</t>
  </si>
  <si>
    <t xml:space="preserve">7032-24</t>
  </si>
  <si>
    <t xml:space="preserve">COVENTRY CLEAN ENERGY 1-3</t>
  </si>
  <si>
    <t xml:space="preserve">2024Q1</t>
  </si>
  <si>
    <t xml:space="preserve">INELIGIBLE — Q1 generation precedes 2024-04-01 effective date</t>
  </si>
  <si>
    <t xml:space="preserve">BUYER HELD in export, but custody cannot cure ineligibility</t>
  </si>
  <si>
    <t xml:space="preserve">250 identity; 0 eligible</t>
  </si>
  <si>
    <t xml:space="preserve">REJECT — pre-effective generation</t>
  </si>
  <si>
    <t xml:space="preserve">Timely substitute REPL-B; substitute tested independently</t>
  </si>
  <si>
    <t xml:space="preserve">Deficiency noticed; cured before 2025-06-06 17:00 EDT</t>
  </si>
  <si>
    <t xml:space="preserve">$0.00</t>
  </si>
  <si>
    <t xml:space="preserve">Delivery statement Tender Lots!A3:I3; References/RPS Class I Qualified Units.xlsx Generation Units!A171:L171 and Notes!A5; Registry export row 4; Correspondence/Prior Exception Notice EXC-24017.pdf p.1; Amendment p.2 §2.</t>
  </si>
  <si>
    <t xml:space="preserve">LOT-C</t>
  </si>
  <si>
    <t xml:space="preserve">2024Q3</t>
  </si>
  <si>
    <t xml:space="preserve">ELIGIBLE as product/vintage</t>
  </si>
  <si>
    <t xml:space="preserve">REVERSED — later TX-771903 at 2025-06-09 10:03:11 EDT supersedes earlier transfer</t>
  </si>
  <si>
    <t xml:space="preserve">200 identity; 0 custody-valid</t>
  </si>
  <si>
    <t xml:space="preserve">REJECT — later reversal defeats delivery</t>
  </si>
  <si>
    <t xml:space="preserve">Timely REPL-C; 150 unique accepted, then 40 buyer cover, 10 residual</t>
  </si>
  <si>
    <t xml:space="preserve">Seller (delivery deficiency); Buyer executes authorized cover</t>
  </si>
  <si>
    <t xml:space="preserve">Live reversal after 09:30 export but before noon cutoff</t>
  </si>
  <si>
    <t xml:space="preserve">Delivery statement Tender Lots!A4:I4; Registry export row 5 (earlier transfer) and row 2 metadata; Registry Evidence/Final Lot Review Packet.pdf p.1 embedded overview and p.2 embedded detail; Registry Evidence/Exception Markup.docx embedded image1 raw and image2 marked; Amendment p.2 §2 and p.3 §3.</t>
  </si>
  <si>
    <t xml:space="preserve">LOT-D</t>
  </si>
  <si>
    <t xml:space="preserve">NON38983</t>
  </si>
  <si>
    <t xml:space="preserve">1015-02</t>
  </si>
  <si>
    <t xml:space="preserve">Deer Island Treatment Plant STG</t>
  </si>
  <si>
    <t xml:space="preserve">2024Q4</t>
  </si>
  <si>
    <t xml:space="preserve">ELIGIBLE — generation after 2002-04-01; no output limitation</t>
  </si>
  <si>
    <t xml:space="preserve">BUYER HELD — TX-770104 completed to BSC-MA-4421</t>
  </si>
  <si>
    <t xml:space="preserve">150</t>
  </si>
  <si>
    <t xml:space="preserve">RELEASED — QX-38983-2025 at 11:36:20 EDT</t>
  </si>
  <si>
    <t xml:space="preserve">ACCEPT — valid lot after internal release gate</t>
  </si>
  <si>
    <t xml:space="preserve">Seller; Compliance Qualification Manager owns gate</t>
  </si>
  <si>
    <t xml:space="preserve">Admitted only after final pre-cutoff RELEASED event</t>
  </si>
  <si>
    <t xml:space="preserve">$2,700.00</t>
  </si>
  <si>
    <t xml:space="preserve">Delivery statement Tender Lots!A5:I5; References/RPS Class I Qualified Units.xlsx Generation Units!A18:L18 and Notes!A5; Registry export row 6; Compliance/Unit Qualification Exception Log QX-38983-2025.csv rows 4,6,8.</t>
  </si>
  <si>
    <t xml:space="preserve">REPL-B</t>
  </si>
  <si>
    <t xml:space="preserve">Replacement for LOT-B</t>
  </si>
  <si>
    <t xml:space="preserve">ELIGIBLE — Q1 generation is on/after 2024-01-01</t>
  </si>
  <si>
    <t xml:space="preserve">BUYER HELD — TX-771801 completed 2025-06-06 16:48:21 EDT</t>
  </si>
  <si>
    <t xml:space="preserve">250</t>
  </si>
  <si>
    <t xml:space="preserve">ACCEPT — substitute after independent testing</t>
  </si>
  <si>
    <t xml:space="preserve">Cures LOT-B deficiency</t>
  </si>
  <si>
    <t xml:space="preserve">Election 16:41 and registry transfer 16:48:21, both before 17:00 cure cutoff</t>
  </si>
  <si>
    <t xml:space="preserve">$4,500.00</t>
  </si>
  <si>
    <t xml:space="preserve">Delivery statement Tender Lots!A6:I6; Qualified Units Generation Units!A110:L110 and Notes!A5; Registry export row 7; Prior Exception Notice pp.1-2; Seller Cure Election DOCX embedded word/media/image1.jpg; Amendment p.2 §2.</t>
  </si>
  <si>
    <t xml:space="preserve">REPL-C</t>
  </si>
  <si>
    <t xml:space="preserve">Replacement for LOT-C</t>
  </si>
  <si>
    <t xml:space="preserve">BUYER HELD — TX-771802 completed 2025-06-06 16:52:08 EDT</t>
  </si>
  <si>
    <t xml:space="preserve">150 — 000401-000550; 000351-000400 overlaps accepted LOT-A</t>
  </si>
  <si>
    <t xml:space="preserve">PARTIAL ACCEPT — 150 unique; reject 50 duplicate</t>
  </si>
  <si>
    <t xml:space="preserve">Cures 150 of LOT-C; remaining 50 proceeds to cover (40) then residual (10)</t>
  </si>
  <si>
    <t xml:space="preserve">Seller for duplicate deficiency; Buyer for authorized cover execution</t>
  </si>
  <si>
    <t xml:space="preserve">Election 16:41 and transfer 16:52:08 before cure cutoff; uniqueness then reduces acceptance</t>
  </si>
  <si>
    <t xml:space="preserve">Delivery statement Tender Lots!A7:I7; Registry export row 8; Final Lot Review Packet.pdf p.4 embedded raw range matrix; Exception Markup.docx embedded image3 raw and image4 marked (1693×929 each); Contract p.2 §4; Amendment p.2 §2.</t>
  </si>
  <si>
    <t xml:space="preserve">CERTIFICATE QUANTITY RECONCILIATION</t>
  </si>
  <si>
    <t xml:space="preserve">Inclusive serial arithmetic; original-lot priority; ordered original test → seller cure → buyer cover → residual.</t>
  </si>
  <si>
    <t xml:space="preserve">Step</t>
  </si>
  <si>
    <t xml:space="preserve">Quantity</t>
  </si>
  <si>
    <t xml:space="preserve">Formula / Arithmetic</t>
  </si>
  <si>
    <t xml:space="preserve">Treatment</t>
  </si>
  <si>
    <t xml:space="preserve">Owner</t>
  </si>
  <si>
    <t xml:space="preserve">Status</t>
  </si>
  <si>
    <t xml:space="preserve">Evidence / Locator</t>
  </si>
  <si>
    <t xml:space="preserve">Contract quantity</t>
  </si>
  <si>
    <t xml:space="preserve">Per confirmation</t>
  </si>
  <si>
    <t xml:space="preserve">Required 2024 MA Class I RECs</t>
  </si>
  <si>
    <t xml:space="preserve">Control</t>
  </si>
  <si>
    <t xml:space="preserve">Contracts/REC Purchase Confirmation REC-2024-017.pdf p.1 §2.</t>
  </si>
  <si>
    <t xml:space="preserve">Original tender quantity</t>
  </si>
  <si>
    <t xml:space="preserve">400+250+200+150</t>
  </si>
  <si>
    <t xml:space="preserve">All original lots tendered; not all accepted</t>
  </si>
  <si>
    <t xml:space="preserve">Reconciled</t>
  </si>
  <si>
    <t xml:space="preserve">Delivery/Final Delivery Statement 2025-06-09.xlsx Tender Lots!A2:I5.</t>
  </si>
  <si>
    <t xml:space="preserve">Original accepted</t>
  </si>
  <si>
    <t xml:space="preserve">LOT-A 400 + LOT-D 150</t>
  </si>
  <si>
    <t xml:space="preserve">Program, custody, uniqueness, and gate passed</t>
  </si>
  <si>
    <t xml:space="preserve">550 accepted</t>
  </si>
  <si>
    <t xml:space="preserve">Lot Dispositions!O4 and O7.</t>
  </si>
  <si>
    <t xml:space="preserve">Original deficiency before cure</t>
  </si>
  <si>
    <t xml:space="preserve">1,000 - 550</t>
  </si>
  <si>
    <t xml:space="preserve">LOT-B 250 + LOT-C 200</t>
  </si>
  <si>
    <t xml:space="preserve">450 deficient</t>
  </si>
  <si>
    <t xml:space="preserve">Lot Dispositions!P5:P6.</t>
  </si>
  <si>
    <t xml:space="preserve">Replacement tender quantity</t>
  </si>
  <si>
    <t xml:space="preserve">250+200</t>
  </si>
  <si>
    <t xml:space="preserve">Timely cure tender; still independently tested</t>
  </si>
  <si>
    <t xml:space="preserve">450 tested</t>
  </si>
  <si>
    <t xml:space="preserve">Registry export rows 7-8; Amendment p.2 §2.</t>
  </si>
  <si>
    <t xml:space="preserve">Replacement accepted unique</t>
  </si>
  <si>
    <t xml:space="preserve">250+150</t>
  </si>
  <si>
    <t xml:space="preserve">REPL-B 250 + REPL-C 150 unique</t>
  </si>
  <si>
    <t xml:space="preserve">400 accepted</t>
  </si>
  <si>
    <t xml:space="preserve">Lot Dispositions!O8:O9; visual overlap pair.</t>
  </si>
  <si>
    <t xml:space="preserve">Replacement duplicate rejected</t>
  </si>
  <si>
    <t xml:space="preserve">Inclusive intersection 000351-000400 = 400-351+1 = 50</t>
  </si>
  <si>
    <t xml:space="preserve">Original LOT-A priority; no double count</t>
  </si>
  <si>
    <t xml:space="preserve">50 rejected</t>
  </si>
  <si>
    <t xml:space="preserve">Final Lot Review Packet.pdf p.4 embedded range matrix; Exception Markup.docx image3 raw/image4 marked.</t>
  </si>
  <si>
    <t xml:space="preserve">Accepted seller total</t>
  </si>
  <si>
    <t xml:space="preserve">550+400</t>
  </si>
  <si>
    <t xml:space="preserve">All accepted seller components</t>
  </si>
  <si>
    <t xml:space="preserve">950</t>
  </si>
  <si>
    <t xml:space="preserve">LOT-A 400 + LOT-D 150 + REPL-B 250 + unique REPL-C 150.</t>
  </si>
  <si>
    <t xml:space="preserve">Post-cure seller deficiency</t>
  </si>
  <si>
    <t xml:space="preserve">1,000-950</t>
  </si>
  <si>
    <t xml:space="preserve">Remaining after timely seller substitutions</t>
  </si>
  <si>
    <t xml:space="preserve">50</t>
  </si>
  <si>
    <t xml:space="preserve">Amendment p.3 §3; Lot Dispositions.</t>
  </si>
  <si>
    <t xml:space="preserve">Executed cover quantity (damage basis)</t>
  </si>
  <si>
    <t xml:space="preserve">Corroborated executed fill; does not itself prove custody</t>
  </si>
  <si>
    <t xml:space="preserve">Buyer / seller differential under amendment</t>
  </si>
  <si>
    <t xml:space="preserve">Executed</t>
  </si>
  <si>
    <t xml:space="preserve">40</t>
  </si>
  <si>
    <t xml:space="preserve">Cover Trade Capture p.1 embedded terminal; Broker Confirmation embedded image1.</t>
  </si>
  <si>
    <t xml:space="preserve">Cover admitted to inventory (custody basis)</t>
  </si>
  <si>
    <t xml:space="preserve">Exact batch finally settled to buyer</t>
  </si>
  <si>
    <t xml:space="preserve">Separate inventory lineage</t>
  </si>
  <si>
    <t xml:space="preserve">Buyer / Registry Ops</t>
  </si>
  <si>
    <t xml:space="preserve">40 posted</t>
  </si>
  <si>
    <t xml:space="preserve">Cover Custody Confirmation pp.1-2 embedded images; Cover Custody!A4:L4.</t>
  </si>
  <si>
    <t xml:space="preserve">Residual shortfall</t>
  </si>
  <si>
    <t xml:space="preserve">50-40</t>
  </si>
  <si>
    <t xml:space="preserve">Not accepted, not covered, not posted</t>
  </si>
  <si>
    <t xml:space="preserve">Energy Procurement</t>
  </si>
  <si>
    <t xml:space="preserve">10 open</t>
  </si>
  <si>
    <t xml:space="preserve">Amendment p.3 §3; Action Register!A5:G5.</t>
  </si>
  <si>
    <t xml:space="preserve">Conservation check</t>
  </si>
  <si>
    <t xml:space="preserve">950+40+10</t>
  </si>
  <si>
    <t xml:space="preserve">Must equal contract / close requirement</t>
  </si>
  <si>
    <t xml:space="preserve">Settlement Management</t>
  </si>
  <si>
    <t xml:space="preserve">PASS if 1,000</t>
  </si>
  <si>
    <t xml:space="preserve">Inventory Posting!A4:F9.</t>
  </si>
  <si>
    <t xml:space="preserve">FINANCIAL BRIDGE — INV-2025-0617</t>
  </si>
  <si>
    <t xml:space="preserve">Only accepted seller RECs are valued at USD 18.00; cover cash cost is shown separately; only the positive cover-price differential is a seller offset.</t>
  </si>
  <si>
    <t xml:space="preserve">Line</t>
  </si>
  <si>
    <t xml:space="preserve">Unit Price / Rate</t>
  </si>
  <si>
    <t xml:space="preserve">Amount (USD)</t>
  </si>
  <si>
    <t xml:space="preserve">Accounting Treatment</t>
  </si>
  <si>
    <t xml:space="preserve">Booked USD 18,000; unapproved; zero paid</t>
  </si>
  <si>
    <t xml:space="preserve">Delivery/Invoice INV-2025-0617.pdf p.1; Accounting/Invoice Ledger.csv row 2.</t>
  </si>
  <si>
    <t xml:space="preserve">Less: rejected seller quantity</t>
  </si>
  <si>
    <t xml:space="preserve">50 post-cure deficiency is not payable</t>
  </si>
  <si>
    <t xml:space="preserve">Quantity Reconciliation!B12; Contract p.2 §4 and p.3 §5.</t>
  </si>
  <si>
    <t xml:space="preserve">950 accepted seller RECs × contract price</t>
  </si>
  <si>
    <t xml:space="preserve">Contract p.1 §2; Lot Dispositions accepted vector.</t>
  </si>
  <si>
    <t xml:space="preserve">Executed cover price (separate trade)</t>
  </si>
  <si>
    <t xml:space="preserve">USD 900 buyer cover cash cost; not seller contract price and not itself a seller credit</t>
  </si>
  <si>
    <t xml:space="preserve">Cover Trade Capture p.1 embedded terminal; Broker Confirmation DOCX embedded image1; Cover Payment Advice p.1.</t>
  </si>
  <si>
    <t xml:space="preserve">Contract benchmark for covered quantity</t>
  </si>
  <si>
    <t xml:space="preserve">USD 720 contract-price baseline used only in differential</t>
  </si>
  <si>
    <t xml:space="preserve">Contract p.1 §2; Amendment p.3 §3.</t>
  </si>
  <si>
    <t xml:space="preserve">Positive unit differential</t>
  </si>
  <si>
    <t xml:space="preserve">22.50 - 18.00 = 4.50 per covered REC</t>
  </si>
  <si>
    <t xml:space="preserve">Amendment p.3 §3.</t>
  </si>
  <si>
    <t xml:space="preserve">Eligible covered quantity</t>
  </si>
  <si>
    <t xml:space="preserve">Limited to post-cure deficiency and corroborated executed fill</t>
  </si>
  <si>
    <t xml:space="preserve">Amendment p.3 §3; cover visual pair.</t>
  </si>
  <si>
    <t xml:space="preserve">Cover cost (memo only)</t>
  </si>
  <si>
    <t xml:space="preserve">Buyer cash cost shown separately; do not deduct USD 900 from seller invoice</t>
  </si>
  <si>
    <t xml:space="preserve">Procurement/Cover Payment Advice.pdf p.1 says not a seller credit memo.</t>
  </si>
  <si>
    <t xml:space="preserve">Permitted seller offset: 40 × 4.50</t>
  </si>
  <si>
    <t xml:space="preserve">Prior supported credits</t>
  </si>
  <si>
    <t xml:space="preserve">None as of cutoff</t>
  </si>
  <si>
    <t xml:space="preserve">Accounting/Invoice Ledger.csv row 2, prior_credits_usd = 0.00.</t>
  </si>
  <si>
    <t xml:space="preserve">17,100 - 180 - 0 = 16,920</t>
  </si>
  <si>
    <t xml:space="preserve">Contract, amendment, lot and ledger evidence above.</t>
  </si>
  <si>
    <t xml:space="preserve">Amount to dispute vs invoice</t>
  </si>
  <si>
    <t xml:space="preserve">18,000 - 16,920 = 1,080 (USD 900 quantity rejection + USD 180 cover differential)</t>
  </si>
  <si>
    <t xml:space="preserve">Invoice p.1; June Close Calendar p.1; Contract p.3 §6.</t>
  </si>
  <si>
    <t xml:space="preserve">CONTRACT, AUTHENTICATION, CURE, AND COVER CONTROLS</t>
  </si>
  <si>
    <t xml:space="preserve">Commercial terms are applied only within their authenticated and expressly modified scope.</t>
  </si>
  <si>
    <t xml:space="preserve">Observed Identity</t>
  </si>
  <si>
    <t xml:space="preserve">Observed Time / Status</t>
  </si>
  <si>
    <t xml:space="preserve">Cutoff / Requirement</t>
  </si>
  <si>
    <t xml:space="preserve">Conclusion</t>
  </si>
  <si>
    <t xml:space="preserve">Business Consequence</t>
  </si>
  <si>
    <t xml:space="preserve">Primary Public Evidence</t>
  </si>
  <si>
    <t xml:space="preserve">Corroborating Evidence</t>
  </si>
  <si>
    <t xml:space="preserve">Amendment signature page</t>
  </si>
  <si>
    <t xml:space="preserve">AMD-REC-017-A1; Bay State / Michael T. Burns and GreenArc / Zachary Green signatures; both dated May 20, 2025; buyer/seller initials for §3</t>
  </si>
  <si>
    <t xml:space="preserve">Bilateral execution visible</t>
  </si>
  <si>
    <t xml:space="preserve">Before noon cutoff</t>
  </si>
  <si>
    <t xml:space="preserve">Authenticated member 1 of 2</t>
  </si>
  <si>
    <t xml:space="preserve">Supplies bilateral execution; not receipt control alone</t>
  </si>
  <si>
    <t xml:space="preserve">Contracts/Amendment 1 - Cure and Cover.pdf p.5 embedded signature image</t>
  </si>
  <si>
    <t xml:space="preserve">Same PDF p.1 document control code and p.6 reverse.</t>
  </si>
  <si>
    <t xml:space="preserve">Amendment receipt reverse</t>
  </si>
  <si>
    <t xml:space="preserve">AMD-REC-017-A1; “2 OF 2”</t>
  </si>
  <si>
    <t xml:space="preserve">RECEIVED MAY 20 2025 3:42 PM EDT</t>
  </si>
  <si>
    <t xml:space="preserve">Authenticated member 2 of 2</t>
  </si>
  <si>
    <t xml:space="preserve">Matching control identity + receipt completes execution authentication</t>
  </si>
  <si>
    <t xml:space="preserve">Contracts/Amendment 1 - Cure and Cover.pdf p.6 embedded receipt-control reverse</t>
  </si>
  <si>
    <t xml:space="preserve">Same PDF p.5 signature image.</t>
  </si>
  <si>
    <t xml:space="preserve">Amendment precedence</t>
  </si>
  <si>
    <t xml:space="preserve">AMD-REC-017-A1 / REC-2024-017</t>
  </si>
  <si>
    <t xml:space="preserve">Fully executed</t>
  </si>
  <si>
    <t xml:space="preserve">Expressly modifies exception cure, buyer cover, and damages only</t>
  </si>
  <si>
    <t xml:space="preserve">PASS</t>
  </si>
  <si>
    <t xml:space="preserve">Amendment controls those inconsistent terms; program eligibility and registry custody remain with their own authorities</t>
  </si>
  <si>
    <t xml:space="preserve">Amendment p.1 §1 and pp.5-6 embedded execution images</t>
  </si>
  <si>
    <t xml:space="preserve">Base Confirmation p.4 §§7-8; Program Authority Locator Index.md Authority order.</t>
  </si>
  <si>
    <t xml:space="preserve">Exception notice receipt</t>
  </si>
  <si>
    <t xml:space="preserve">EXC-24017; LOT-B and LOT-C</t>
  </si>
  <si>
    <t xml:space="preserve">DELIVERED JUN 3 2025 4:18 PM EDT</t>
  </si>
  <si>
    <t xml:space="preserve">Antecedent notice</t>
  </si>
  <si>
    <t xml:space="preserve">Starts case-linked cure sequence; notice itself makes no lot disposition</t>
  </si>
  <si>
    <t xml:space="preserve">Prior Exception Notice EXC-24017.pdf p.1 and p.2 embedded receipt image</t>
  </si>
  <si>
    <t xml:space="preserve">Seller Cure Election DOCX embedded scan.</t>
  </si>
  <si>
    <t xml:space="preserve">Seller cure election</t>
  </si>
  <si>
    <t xml:space="preserve">EXC-24017; SUBSTITUTE DELIVERY is sole checked option; signed Daniel Harper</t>
  </si>
  <si>
    <t xml:space="preserve">RECEIVED JUN 6 2025 4:41 PM EDT</t>
  </si>
  <si>
    <t xml:space="preserve">No later than Jun 6 17:00 EDT</t>
  </si>
  <si>
    <t xml:space="preserve">TIMELY</t>
  </si>
  <si>
    <t xml:space="preserve">Authorizes substitute testing; does not guarantee acceptance</t>
  </si>
  <si>
    <t xml:space="preserve">Correspondence/Seller Cure Election EXC-24017.docx embedded word/media/image1.jpg</t>
  </si>
  <si>
    <t xml:space="preserve">Amendment p.2 §2; notice pp.1-2.</t>
  </si>
  <si>
    <t xml:space="preserve">Substitute transfers</t>
  </si>
  <si>
    <t xml:space="preserve">REPL-B TX-771801; REPL-C TX-771802</t>
  </si>
  <si>
    <t xml:space="preserve">16:48:21 and 16:52:08 EDT on Jun 6; completed to BSC-MA-4421</t>
  </si>
  <si>
    <t xml:space="preserve">Both substitutes enter independent product/vintage/qualification/custody/uniqueness testing</t>
  </si>
  <si>
    <t xml:space="preserve">Registry Evidence/Account Event Export.csv rows 7-8</t>
  </si>
  <si>
    <t xml:space="preserve">Amendment p.2 §2; delivery statement Tender Lots rows 6-7.</t>
  </si>
  <si>
    <t xml:space="preserve">Executed cover fill</t>
  </si>
  <si>
    <t xml:space="preserve">BRK-88402; MAI24 / 2024 MA CLASS I; 40; USD 22.50; FILLED/EXECUTED</t>
  </si>
  <si>
    <t xml:space="preserve">2025-06-09 10:47:26 EDT</t>
  </si>
  <si>
    <t xml:space="preserve">After Jun 6 17:00 cure expiry and before Jun 9 noon</t>
  </si>
  <si>
    <t xml:space="preserve">ELIGIBLE EXECUTED COVER</t>
  </si>
  <si>
    <t xml:space="preserve">Supports damage quantity and USD 4.50 differential; custody separately tested</t>
  </si>
  <si>
    <t xml:space="preserve">Procurement/Cover Trade Capture BRK-88402.pdf p.1 embedded terminal view</t>
  </si>
  <si>
    <t xml:space="preserve">Procurement/Broker Confirmation BRK-88402.docx embedded word/media/image1.jpg.</t>
  </si>
  <si>
    <t xml:space="preserve">Payment linkage</t>
  </si>
  <si>
    <t xml:space="preserve">PAY-2025-0609-88402 to BRK-88402; USD 900</t>
  </si>
  <si>
    <t xml:space="preserve">Released for broker settlement</t>
  </si>
  <si>
    <t xml:space="preserve">Memo only</t>
  </si>
  <si>
    <t xml:space="preserve">LINKED, NOT SELLER CREDIT</t>
  </si>
  <si>
    <t xml:space="preserve">Confirms broker cash settlement; does not prove quantity/price and is not a seller credit memo</t>
  </si>
  <si>
    <t xml:space="preserve">Procurement/Cover Payment Advice.pdf p.1</t>
  </si>
  <si>
    <t xml:space="preserve">Executed cover pair above.</t>
  </si>
  <si>
    <t xml:space="preserve">REGISTRY LIFECYCLE AND RAW-TO-MARKED LINEAGE</t>
  </si>
  <si>
    <t xml:space="preserve">Visual observations are admitted only after the exact raw view and dimension-preserved attention layer are reconciled.</t>
  </si>
  <si>
    <t xml:space="preserve">Control / Pair</t>
  </si>
  <si>
    <t xml:space="preserve">Public Container + Locator</t>
  </si>
  <si>
    <t xml:space="preserve">Dimensions</t>
  </si>
  <si>
    <t xml:space="preserve">Lot / Unit / Period</t>
  </si>
  <si>
    <t xml:space="preserve">Transaction / Range</t>
  </si>
  <si>
    <t xml:space="preserve">Observed Event / Geometry</t>
  </si>
  <si>
    <t xml:space="preserve">Time / Status</t>
  </si>
  <si>
    <t xml:space="preserve">Raw-to-Marked Preservation</t>
  </si>
  <si>
    <t xml:space="preserve">Admissible Business Conclusion</t>
  </si>
  <si>
    <t xml:space="preserve">Corroborating Locator</t>
  </si>
  <si>
    <t xml:space="preserve">LOT-C overview</t>
  </si>
  <si>
    <t xml:space="preserve">Registry Evidence/Final Lot Review Packet.pdf p.1 embedded overview image</t>
  </si>
  <si>
    <t xml:space="preserve">1693×929</t>
  </si>
  <si>
    <t xml:space="preserve">LOT-C / MSS424 / 2024Q3</t>
  </si>
  <si>
    <t xml:space="preserve">Transfer TX-770512; reversal TX-771903</t>
  </si>
  <si>
    <t xml:space="preserve">Ordered transfer then reversal for quantity 200</t>
  </si>
  <si>
    <t xml:space="preserve">Transfer 2025-06-01 09:15:42 COMPLETED; reversal 2025-06-09 10:03:11 REVERSED</t>
  </si>
  <si>
    <t xml:space="preserve">Raw overview; sequence view</t>
  </si>
  <si>
    <t xml:space="preserve">Later adverse lifecycle event exists for same LOT-C</t>
  </si>
  <si>
    <t xml:space="preserve">Packet p.2 embedded detail image.</t>
  </si>
  <si>
    <t xml:space="preserve">LOT-C detail</t>
  </si>
  <si>
    <t xml:space="preserve">Registry Evidence/Final Lot Review Packet.pdf p.2 embedded detail image</t>
  </si>
  <si>
    <t xml:space="preserve">1536×1024</t>
  </si>
  <si>
    <t xml:space="preserve">TX-771903 / 001001-001200 inclusive</t>
  </si>
  <si>
    <t xml:space="preserve">Buyer BSC-MA-4421; adverse status REVERSED</t>
  </si>
  <si>
    <t xml:space="preserve">2025-06-09 10:03:11 EDT</t>
  </si>
  <si>
    <t xml:space="preserve">Raw baseline identity and scope</t>
  </si>
  <si>
    <t xml:space="preserve">Exact full LOT-C block reversed before cutoff</t>
  </si>
  <si>
    <t xml:space="preserve">Packet p.1 embedded overview; export row 5 earlier transfer.</t>
  </si>
  <si>
    <t xml:space="preserve">LOT-C raw lineage</t>
  </si>
  <si>
    <t xml:space="preserve">Registry Evidence/Exception Markup.docx embedded word/media/image1.png</t>
  </si>
  <si>
    <t xml:space="preserve">TX-771903 / 001001-001200</t>
  </si>
  <si>
    <t xml:space="preserve">Unannotated retained source</t>
  </si>
  <si>
    <t xml:space="preserve">REVERSED at 10:03:11 EDT</t>
  </si>
  <si>
    <t xml:space="preserve">Exact extracted baseline from Packet p.2; unchanged dimensions</t>
  </si>
  <si>
    <t xml:space="preserve">Raw source is the evidentiary baseline</t>
  </si>
  <si>
    <t xml:space="preserve">Final Lot Review Packet.pdf p.2 embedded detail.</t>
  </si>
  <si>
    <t xml:space="preserve">LOT-C marked lineage</t>
  </si>
  <si>
    <t xml:space="preserve">Registry Evidence/Exception Markup.docx embedded word/media/image2.png</t>
  </si>
  <si>
    <t xml:space="preserve">Same as immediately preceding raw</t>
  </si>
  <si>
    <t xml:space="preserve">Same TX-771903 and full range</t>
  </si>
  <si>
    <t xml:space="preserve">Only orange arrow/boxes added around transaction, REVERSED, and event time</t>
  </si>
  <si>
    <t xml:space="preserve">Source values unchanged</t>
  </si>
  <si>
    <t xml:space="preserve">Same dimensions and source content; bounded attention only</t>
  </si>
  <si>
    <t xml:space="preserve">Admitted only together with raw; annotation does not replace evidence</t>
  </si>
  <si>
    <t xml:space="preserve">Exception Markup DOCX paras “Source view” and “Analyst attention layer”.</t>
  </si>
  <si>
    <t xml:space="preserve">Overlap raw baseline</t>
  </si>
  <si>
    <t xml:space="preserve">Registry Evidence/Exception Markup.docx embedded word/media/image3.png</t>
  </si>
  <si>
    <t xml:space="preserve">LOT-A and REPL-C / MSS424 / 2024Q2</t>
  </si>
  <si>
    <t xml:space="preserve">LOT-A 000001-000400; REPL-C 000351-000550</t>
  </si>
  <si>
    <t xml:space="preserve">Shared geometry 000351-000400</t>
  </si>
  <si>
    <t xml:space="preserve">Inclusive interval</t>
  </si>
  <si>
    <t xml:space="preserve">Exact extracted baseline from Packet p.4; unchanged dimensions</t>
  </si>
  <si>
    <t xml:space="preserve">Original and replacement ranges intersect</t>
  </si>
  <si>
    <t xml:space="preserve">Final Lot Review Packet.pdf p.4 embedded range matrix.</t>
  </si>
  <si>
    <t xml:space="preserve">Overlap marked lineage</t>
  </si>
  <si>
    <t xml:space="preserve">Registry Evidence/Exception Markup.docx embedded word/media/image4.png</t>
  </si>
  <si>
    <t xml:space="preserve">Same unit and period</t>
  </si>
  <si>
    <t xml:space="preserve">Same endpoints</t>
  </si>
  <si>
    <t xml:space="preserve">Only bounded bracket added over 000351-000400; source endpoints/bars unchanged</t>
  </si>
  <si>
    <t xml:space="preserve">Inclusive overlap = 400-351+1 = 50</t>
  </si>
  <si>
    <t xml:space="preserve">Same dimensions and unchanged source content</t>
  </si>
  <si>
    <t xml:space="preserve">Original-lot priority retains only REPL-C 000401-000550 = 150 unique</t>
  </si>
  <si>
    <t xml:space="preserve">Contract p.2 §4 duplicate rejection; Lot Dispositions REPL-C row.</t>
  </si>
  <si>
    <t xml:space="preserve">Export staleness boundary</t>
  </si>
  <si>
    <t xml:space="preserve">Registry Evidence/Account Event Export.csv row 2 metadata and row 5 LOT-C</t>
  </si>
  <si>
    <t xml:space="preserve">Structured</t>
  </si>
  <si>
    <t xml:space="preserve">Earlier TX-770512 transfer</t>
  </si>
  <si>
    <t xml:space="preserve">Scheduled extract ends before live reversal</t>
  </si>
  <si>
    <t xml:space="preserve">Cutoff 09:30; live reversal 10:03:11</t>
  </si>
  <si>
    <t xml:space="preserve">No conflict: different evidence cutoffs</t>
  </si>
  <si>
    <t xml:space="preserve">Use live later reversal; do not use missing export event as proof of custody</t>
  </si>
  <si>
    <t xml:space="preserve">Final Lot Review Packet pp.1-2.</t>
  </si>
  <si>
    <t xml:space="preserve">PROGRAM ELIGIBILITY, VINTAGE, AND CUSTODY TESTS</t>
  </si>
  <si>
    <t xml:space="preserve">Generation period determines vintage. DOER unit data controls qualification; registry controls custody; internal exception release is a separate settlement gate.</t>
  </si>
  <si>
    <t xml:space="preserve">MA RPS</t>
  </si>
  <si>
    <t xml:space="preserve">Unit Name</t>
  </si>
  <si>
    <t xml:space="preserve">Technology</t>
  </si>
  <si>
    <t xml:space="preserve">RPS Effective Date</t>
  </si>
  <si>
    <t xml:space="preserve">Output Limitation</t>
  </si>
  <si>
    <t xml:space="preserve">2024 Vintage?</t>
  </si>
  <si>
    <t xml:space="preserve">Qualification Result</t>
  </si>
  <si>
    <t xml:space="preserve">Custody / Uniqueness Result</t>
  </si>
  <si>
    <t xml:space="preserve">Hydroelectric</t>
  </si>
  <si>
    <t xml:space="preserve">2024-01-01</t>
  </si>
  <si>
    <t xml:space="preserve">Blank = no limitation</t>
  </si>
  <si>
    <t xml:space="preserve">YES</t>
  </si>
  <si>
    <t xml:space="preserve">ELIGIBLE</t>
  </si>
  <si>
    <t xml:space="preserve">Buyer held; original priority; 400 unique</t>
  </si>
  <si>
    <t xml:space="preserve">Qualified Units Generation Units!A110:L110; Notes!A5; Delivery statement Tender Lots!A2:I2; export row 3; Final Lot Review Packet p.4.</t>
  </si>
  <si>
    <t xml:space="preserve">Landfill Gas</t>
  </si>
  <si>
    <t xml:space="preserve">2024-04-01</t>
  </si>
  <si>
    <t xml:space="preserve">INELIGIBLE — generation precedes effective date</t>
  </si>
  <si>
    <t xml:space="preserve">Buyer custody does not cure program failure</t>
  </si>
  <si>
    <t xml:space="preserve">Qualified Units Generation Units!A171:L171; Notes!A5; Delivery statement Tender Lots!A3:I3; export row 4.</t>
  </si>
  <si>
    <t xml:space="preserve">ELIGIBLE product/vintage</t>
  </si>
  <si>
    <t xml:space="preserve">REJECT — later reversal defeats custody</t>
  </si>
  <si>
    <t xml:space="preserve">Qualified Units Generation Units!A110:L110; Delivery statement Tender Lots!A4:I4; Final Lot Review Packet pp.1-2 embedded images.</t>
  </si>
  <si>
    <t xml:space="preserve">Anaerobic Digester</t>
  </si>
  <si>
    <t xml:space="preserve">2002-04-01</t>
  </si>
  <si>
    <t xml:space="preserve">Buyer held; 150 unique; internal case separately RELEASED</t>
  </si>
  <si>
    <t xml:space="preserve">Qualified Units Generation Units!A18:L18; Notes!A5; Delivery statement Tender Lots!A5:I5; export row 6; qualification log rows 4,6,8.</t>
  </si>
  <si>
    <t xml:space="preserve">Buyer held; 250 unique</t>
  </si>
  <si>
    <t xml:space="preserve">Qualified Units Generation Units!A110:L110; Delivery statement Tender Lots!A6:I6; export row 7.</t>
  </si>
  <si>
    <t xml:space="preserve">Buyer held; only 150 unique after 50 overlap</t>
  </si>
  <si>
    <t xml:space="preserve">Qualified Units Generation Units!A110:L110; Delivery statement Tender Lots!A7:I7; export row 8; raw/marked overlap pair.</t>
  </si>
  <si>
    <t xml:space="preserve">COVER</t>
  </si>
  <si>
    <t xml:space="preserve">BSC-MA-4421 final owner; 40 unique allocated certificates</t>
  </si>
  <si>
    <t xml:space="preserve">Cover Custody Confirmation pp.1-2 embedded images; Qualified Units Generation Units!A110:L110; 225 CMR p.34 §14.09(2)(c).</t>
  </si>
  <si>
    <t xml:space="preserve">COVER TRADE → ALLOCATION → FINAL REGISTRY CUSTODY</t>
  </si>
  <si>
    <t xml:space="preserve">Executed-trade damages and compliance-inventory custody are distinct tests. The current state passes both, but for different evidence reasons.</t>
  </si>
  <si>
    <t xml:space="preserve">Trade ID</t>
  </si>
  <si>
    <t xml:space="preserve">Allocation ID</t>
  </si>
  <si>
    <t xml:space="preserve">Program / RPS</t>
  </si>
  <si>
    <t xml:space="preserve">Buyer Account</t>
  </si>
  <si>
    <t xml:space="preserve">Registry Transaction</t>
  </si>
  <si>
    <t xml:space="preserve">Final Status / Time</t>
  </si>
  <si>
    <t xml:space="preserve">Conclusion + Precise Public Evidence</t>
  </si>
  <si>
    <t xml:space="preserve">BRK-88402</t>
  </si>
  <si>
    <t xml:space="preserve">ALLOC-88402-A</t>
  </si>
  <si>
    <t xml:space="preserve">MA RPS 7031-24</t>
  </si>
  <si>
    <t xml:space="preserve">BSC-MA-4421</t>
  </si>
  <si>
    <t xml:space="preserve">TX-772044</t>
  </si>
  <si>
    <t xml:space="preserve">SETTLED — 2025-06-09 11:18:06 EDT</t>
  </si>
  <si>
    <t xml:space="preserve">EXACT MATCH / PASS. Allocation image: Registry Evidence/Cover Custody Confirmation BRK-88402.pdf p.1 embedded ticket (trade, allocation, program, unit, buyer, period, inclusive serials, released 11:06:14). Registry image: same PDF p.2 embedded receipt (allocation, TX-772044, BSC-MA-4421 current owner, same program/unit/period/serials, SETTLED 11:18:06). Both before noon.</t>
  </si>
  <si>
    <t xml:space="preserve">Separate consequences</t>
  </si>
  <si>
    <t xml:space="preserve">Executed-trade damage test</t>
  </si>
  <si>
    <t xml:space="preserve">BRK-88402 executed for 40 at USD 22.50 at 10:47:26 after cure expiry and before cutoff.</t>
  </si>
  <si>
    <t xml:space="preserve">Supports 40 × max(22.50 − 18.00,0) = USD 180 seller offset even though trade execution alone does not prove inventory custody.</t>
  </si>
  <si>
    <t xml:space="preserve">Procurement/Cover Trade Capture BRK-88402.pdf p.1 embedded terminal; Broker Confirmation BRK-88402.docx embedded image1; Amendment p.3 §3.</t>
  </si>
  <si>
    <t xml:space="preserve">Compliance-inventory custody test</t>
  </si>
  <si>
    <t xml:space="preserve">Exact ALLOC-88402-A batch reached BSC-MA-4421 in final SETTLED state at 11:18:06.</t>
  </si>
  <si>
    <t xml:space="preserve">Supports separate 40-REC inventory posting. If final receipt were pending/reversed/late/wrong account, inventory posting would be zero while executed-trade damage conclusion remained analytically separate.</t>
  </si>
  <si>
    <t xml:space="preserve">Registry Evidence/Cover Custody Confirmation BRK-88402.pdf pp.1-2 embedded images; 225 CMR 14.00 p.34 §14.09(2)(c).</t>
  </si>
  <si>
    <t xml:space="preserve">LOT-D QUALIFICATION-EXCEPTION STATE GATE</t>
  </si>
  <si>
    <t xml:space="preserve">Case QX-38983-2025 is an internal settlement close control. Official DOER unit qualification is tested first and independently.</t>
  </si>
  <si>
    <t xml:space="preserve">Event Order</t>
  </si>
  <si>
    <t xml:space="preserve">Event ID</t>
  </si>
  <si>
    <t xml:space="preserve">Case ID</t>
  </si>
  <si>
    <t xml:space="preserve">Effective At / Owner</t>
  </si>
  <si>
    <t xml:space="preserve">QX38983-001</t>
  </si>
  <si>
    <t xml:space="preserve">QX-38983-2025</t>
  </si>
  <si>
    <t xml:space="preserve">REVIEW_HOLD</t>
  </si>
  <si>
    <t xml:space="preserve">2025-06-09 09:42:15 EDT | Compliance Qualification Desk</t>
  </si>
  <si>
    <t xml:space="preserve">Compliance/Unit Qualification Exception Log QX-38983-2025.csv row 4, all fields.</t>
  </si>
  <si>
    <t xml:space="preserve">QX38983-002</t>
  </si>
  <si>
    <t xml:space="preserve">EVIDENCE_MATCHED</t>
  </si>
  <si>
    <t xml:space="preserve">2025-06-09 11:19:44 EDT | Compliance Qualification Desk</t>
  </si>
  <si>
    <t xml:space="preserve">Same CSV row 6, all fields.</t>
  </si>
  <si>
    <t xml:space="preserve">QX38983-003</t>
  </si>
  <si>
    <t xml:space="preserve">RELEASED</t>
  </si>
  <si>
    <t xml:space="preserve">2025-06-09 11:36:20 EDT | Compliance Qualification Manager</t>
  </si>
  <si>
    <t xml:space="preserve">Same CSV row 8, all fields.</t>
  </si>
  <si>
    <t xml:space="preserve">Derived control conclusion</t>
  </si>
  <si>
    <t xml:space="preserve">Official program eligibility</t>
  </si>
  <si>
    <t xml:space="preserve">NON38983 / MA RPS 1015-02 / Deer Island / Anaerobic Digester / effective 2002-04-01; 2024Q4 generation passes.</t>
  </si>
  <si>
    <t xml:space="preserve">References/RPS Class I Qualified Units.xlsx Generation Units!A18:L18 and Notes!A5. This authority controls eligibility.</t>
  </si>
  <si>
    <t xml:space="preserve">Internal settlement gate</t>
  </si>
  <si>
    <t xml:space="preserve">Last exact-case event effective by noon is RELEASED at 11:36:20 EDT by Compliance Qualification Manager. Gate = PASS.</t>
  </si>
  <si>
    <t xml:space="preserve">Qualification log rows 4,6,8. The release permits the otherwise valid 150 LOT-D RECs to propagate to acceptance, payable, and inventory.</t>
  </si>
  <si>
    <t xml:space="preserve">Authority boundary</t>
  </si>
  <si>
    <t xml:space="preserve">The internal release does not create or override program eligibility; a DOER-invalid unit would remain ineligible even if internally released.</t>
  </si>
  <si>
    <t xml:space="preserve">225 CMR 14.00 p.9 §14.05; Qualified Units row 18; Qualification log.</t>
  </si>
  <si>
    <t xml:space="preserve">Current propagation</t>
  </si>
  <si>
    <t xml:space="preserve">LOT-D accepted 150; seller accepted remains 950; gross USD 17,100; net USD 16,920; seller inventory 950.</t>
  </si>
  <si>
    <t xml:space="preserve">Lot Dispositions!A7:U7; Quantity Reconciliation!B11; Financial Bridge!D6,D14; Inventory Posting!B6.</t>
  </si>
  <si>
    <t xml:space="preserve">Control counterfactual (not current state)</t>
  </si>
  <si>
    <t xml:space="preserve">If RELEASED were absent, late, or mismatched, LOT-D would remain outside close: seller accepted 800; residual 160 after same 40 cover; gross USD 14,400; net USD 14,220.</t>
  </si>
  <si>
    <t xml:space="preserve">This is a sensitivity control illustrating the gate; it is not the current conclusion.</t>
  </si>
  <si>
    <t xml:space="preserve">COMPLIANCE INVENTORY POSTING VECTOR</t>
  </si>
  <si>
    <t xml:space="preserve">Seller and cover certificates retain separate lineage; unresolved residual remains outside settled inventory.</t>
  </si>
  <si>
    <t xml:space="preserve">Posting Component</t>
  </si>
  <si>
    <t xml:space="preserve">Class / Vintage</t>
  </si>
  <si>
    <t xml:space="preserve">Registry / Trade Lineage</t>
  </si>
  <si>
    <t xml:space="preserve">CY2024 Class I close requirement</t>
  </si>
  <si>
    <t xml:space="preserve">CY2024 MA RPS Class I</t>
  </si>
  <si>
    <t xml:space="preserve">Planning control</t>
  </si>
  <si>
    <t xml:space="preserve">Requirement</t>
  </si>
  <si>
    <t xml:space="preserve">Compliance/2024 Class I Inventory Control.xlsx Close Control!A2:E2.</t>
  </si>
  <si>
    <t xml:space="preserve">Opening eligible inventory</t>
  </si>
  <si>
    <t xml:space="preserve">CY2024 allocation</t>
  </si>
  <si>
    <t xml:space="preserve">Pre-contract inventory</t>
  </si>
  <si>
    <t xml:space="preserve">Recorded</t>
  </si>
  <si>
    <t xml:space="preserve">Inventory Control Close Control!A3:E3.</t>
  </si>
  <si>
    <t xml:space="preserve">Accepted seller certificates</t>
  </si>
  <si>
    <t xml:space="preserve">2024 Class I</t>
  </si>
  <si>
    <t xml:space="preserve">LOT-A 400 + LOT-D 150 + REPL-B 250 + REPL-C unique 150</t>
  </si>
  <si>
    <t xml:space="preserve">POST 950 separately</t>
  </si>
  <si>
    <t xml:space="preserve">Official interface: References/2024 Annual Compliance Workbook.xlsx 5. RPS I non-SCO!F13; Lot Dispositions.</t>
  </si>
  <si>
    <t xml:space="preserve">Buyer cover certificates</t>
  </si>
  <si>
    <t xml:space="preserve">BRK-88402 / ALLOC-88402-A / TX-772044</t>
  </si>
  <si>
    <t xml:space="preserve">POST 40 separately after final custody</t>
  </si>
  <si>
    <t xml:space="preserve">Rejected / duplicate certificates</t>
  </si>
  <si>
    <t xml:space="preserve">Excluded source records</t>
  </si>
  <si>
    <t xml:space="preserve">LOT-B 250 + LOT-C 200 + duplicate REPL-C 50</t>
  </si>
  <si>
    <t xml:space="preserve">DO NOT POST; replacement/cover effects appear only in their own lines</t>
  </si>
  <si>
    <t xml:space="preserve">Lot Dispositions deficient fields and reasons; Annual Compliance Workbook 4. Errant!B9,B13 provides unsettled/status interface.</t>
  </si>
  <si>
    <t xml:space="preserve">Residual unresolved close balance</t>
  </si>
  <si>
    <t xml:space="preserve">2024 Class I needed</t>
  </si>
  <si>
    <t xml:space="preserve">No certificate identity yet</t>
  </si>
  <si>
    <t xml:space="preserve">KEEP OUTSIDE SETTLED INVENTORY; open follow-up</t>
  </si>
  <si>
    <t xml:space="preserve">Reconciliation</t>
  </si>
  <si>
    <t xml:space="preserve">950 seller + 40 cover + 10 residual</t>
  </si>
  <si>
    <t xml:space="preserve">PASS = 1,000</t>
  </si>
  <si>
    <t xml:space="preserve">225 CMR 14.00 p.34 §14.09(2)(c) requires ownership support.</t>
  </si>
  <si>
    <t xml:space="preserve">NOTICE, FOLLOW-UP, AND DEADLINE REGISTER</t>
  </si>
  <si>
    <t xml:space="preserve">Commercial dispute and regulatory filing are separate clocks. No filing time is invented.</t>
  </si>
  <si>
    <t xml:space="preserve">Action</t>
  </si>
  <si>
    <t xml:space="preserve">Trigger / Scope</t>
  </si>
  <si>
    <t xml:space="preserve">Governing Deadline</t>
  </si>
  <si>
    <t xml:space="preserve">Status at Cutoff</t>
  </si>
  <si>
    <t xml:space="preserve">Required Output</t>
  </si>
  <si>
    <t xml:space="preserve">Send supported dispute for USD 1,080</t>
  </si>
  <si>
    <t xml:space="preserve">Procurement + Legal; Accounting records invoice hold</t>
  </si>
  <si>
    <t xml:space="preserve">Final tender received 2025-06-09 09:15 EDT; fifth Business Day starts next day</t>
  </si>
  <si>
    <t xml:space="preserve">OPEN</t>
  </si>
  <si>
    <t xml:space="preserve">Written dispute identifies 50 post-cure deficient RECs and USD 180 cover differential; approve balance USD 16,920</t>
  </si>
  <si>
    <t xml:space="preserve">Contract p.3 §6; Delivery statement Tender Lots!H2:H7; June Close Calendar p.1; Financial Bridge!D14:D15.</t>
  </si>
  <si>
    <t xml:space="preserve">Acquire or otherwise resolve residual 10 Class I RECs</t>
  </si>
  <si>
    <t xml:space="preserve">After timely cure exhausted and 40 eligible cover admitted</t>
  </si>
  <si>
    <t xml:space="preserve">OPEN — 10</t>
  </si>
  <si>
    <t xml:space="preserve">New certificate identity plus final GIS ownership evidence; do not post until custody verified</t>
  </si>
  <si>
    <t xml:space="preserve">Amendment p.3 §3; Cover Custody!A4:L4; Quantity Reconciliation!B15.</t>
  </si>
  <si>
    <t xml:space="preserve">Preserve raw/marked evidence lineage</t>
  </si>
  <si>
    <t xml:space="preserve">Registry Operations</t>
  </si>
  <si>
    <t xml:space="preserve">LOT-C reversal and LOT-A/REPL-C overlap support settlement</t>
  </si>
  <si>
    <t xml:space="preserve">Retain with settlement file; completed before approval</t>
  </si>
  <si>
    <t xml:space="preserve">COMPLETE</t>
  </si>
  <si>
    <t xml:space="preserve">Keep raw baselines and dimension-preserved marked layers together</t>
  </si>
  <si>
    <t xml:space="preserve">Final Lot Review Packet pp.1-2,4; Exception Markup DOCX image1-image4; Registry Lineage!A4:J9.</t>
  </si>
  <si>
    <t xml:space="preserve">Retain qualification-exception release audit</t>
  </si>
  <si>
    <t xml:space="preserve">Compliance Qualification Manager</t>
  </si>
  <si>
    <t xml:space="preserve">QX-38983-2025 exact LOT-D/unit case</t>
  </si>
  <si>
    <t xml:space="preserve">Before LOT-D settlement propagation; completed 11:36:20 EDT</t>
  </si>
  <si>
    <t xml:space="preserve">Preserve ordered REVIEW_HOLD → EVIDENCE_MATCHED → RELEASED events</t>
  </si>
  <si>
    <t xml:space="preserve">Qualification log rows 4,6,8; Qualification Exception!A4:J13.</t>
  </si>
  <si>
    <t xml:space="preserve">Prepare CY2024 annual Class I compliance filing</t>
  </si>
  <si>
    <t xml:space="preserve">Seller 950 + cover 40 with ownership support; residual 10 still open</t>
  </si>
  <si>
    <t xml:space="preserve">2025-07-01 (date only; no time stated by authority)</t>
  </si>
  <si>
    <t xml:space="preserve">IN PROGRESS</t>
  </si>
  <si>
    <t xml:space="preserve">Use official workbook; keep unresolved certificates out of settled sub-account reporting until cured</t>
  </si>
  <si>
    <t xml:space="preserve">225 CMR 14.00 p.34 §14.09(1)-(2)(c); Annual Compliance Workbook 5. RPS I non-SCO!F13 and 4. Errant!B9,B13; June Close Calendar p.1.</t>
  </si>
  <si>
    <t xml:space="preserve">PUBLIC EVIDENCE INDEX</t>
  </si>
  <si>
    <t xml:space="preserve">Every public workspace file inspected. Visual business conclusions are based on rendered embedded pixels and reconciled with structured records.</t>
  </si>
  <si>
    <t xml:space="preserve">Public Source Path</t>
  </si>
  <si>
    <t xml:space="preserve">Exact Locator</t>
  </si>
  <si>
    <t xml:space="preserve">Observable Business Evidence</t>
  </si>
  <si>
    <t xml:space="preserve">Role / Authority Boundary</t>
  </si>
  <si>
    <t xml:space="preserve">Used In</t>
  </si>
  <si>
    <t xml:space="preserve">Accounting/Invoice Ledger.csv</t>
  </si>
  <si>
    <t xml:space="preserve">row 2; fields invoice_id through as_of</t>
  </si>
  <si>
    <t xml:space="preserve">INV-2025-0617 booked USD 18,000, UNAPPROVED, paid 0, prior credits 0 as of noon.</t>
  </si>
  <si>
    <t xml:space="preserve">Accounting control; booking is not delivery approval.</t>
  </si>
  <si>
    <t xml:space="preserve">Financial Bridge; Decision Summary</t>
  </si>
  <si>
    <t xml:space="preserve">Compliance/2024 Class I Inventory Control.xlsx</t>
  </si>
  <si>
    <t xml:space="preserve">Close Control!A2:E7</t>
  </si>
  <si>
    <t xml:space="preserve">1,000 close requirement, zero opening inventory, separate pending seller/cover/errant/residual inputs.</t>
  </si>
  <si>
    <t xml:space="preserve">Internal pre-settlement inventory schema.</t>
  </si>
  <si>
    <t xml:space="preserve">Inventory Posting</t>
  </si>
  <si>
    <t xml:space="preserve">Compliance/June Close Calendar.pdf</t>
  </si>
  <si>
    <t xml:space="preserve">p.1</t>
  </si>
  <si>
    <t xml:space="preserve">Cure cutoff Jun 6 17:00; tender Jun 9 09:15; dispute Jun 16 17:00; filing Jul 1, separate clocks.</t>
  </si>
  <si>
    <t xml:space="preserve">Internal calendar corroborates contract/regulatory computations.</t>
  </si>
  <si>
    <t xml:space="preserve">Decision Summary; Action Register</t>
  </si>
  <si>
    <t xml:space="preserve">Compliance/Unit Qualification Exception Log QX-38983-2025.csv</t>
  </si>
  <si>
    <t xml:space="preserve">rows 4,6,8; fields case_id through owner</t>
  </si>
  <si>
    <t xml:space="preserve">Exact LOT-D/NON38983/1015-02/Deer Island case moves REVIEW_HOLD → EVIDENCE_MATCHED → RELEASED at 11:36:20 by manager.</t>
  </si>
  <si>
    <t xml:space="preserve">Internal close gate only; not program eligibility.</t>
  </si>
  <si>
    <t xml:space="preserve">Qualification Exception; Lot Dispositions</t>
  </si>
  <si>
    <t xml:space="preserve">Contracts/Amendment 1 - Cure and Cover.pdf</t>
  </si>
  <si>
    <t xml:space="preserve">p.1 §1; p.2 §2; p.3 §3; p.4 §§4-5; p.5 embedded signature image; p.6 embedded receipt reverse</t>
  </si>
  <si>
    <t xml:space="preserve">Expressly modifies cure/cover/damages; Jun 6 cutoff; independent substitute tests; positive differential; visual pair proves bilateral execution and receipt for AMD-REC-017-A1.</t>
  </si>
  <si>
    <t xml:space="preserve">Controlling commercial source within express scope after authentication.</t>
  </si>
  <si>
    <t xml:space="preserve">Contract Cure Controls; Financial Bridge</t>
  </si>
  <si>
    <t xml:space="preserve">Contracts/REC Purchase Confirmation REC-2024-017.pdf</t>
  </si>
  <si>
    <t xml:space="preserve">p.1 §§1-2; p.2 §§3-4; p.3 §§5-6; p.4 §§7-8</t>
  </si>
  <si>
    <t xml:space="preserve">2024 Class I product, 1,000 at USD 18, buyer account, acceptance, invoice/dispute, source precedence.</t>
  </si>
  <si>
    <t xml:space="preserve">Base commercial source except expressly amended cure/cover matters.</t>
  </si>
  <si>
    <t xml:space="preserve">All settlement schedules</t>
  </si>
  <si>
    <t xml:space="preserve">Correspondence/Prior Exception Notice EXC-24017.pdf</t>
  </si>
  <si>
    <t xml:space="preserve">p.1; p.2 embedded receipt image</t>
  </si>
  <si>
    <t xml:space="preserve">Case EXC-24017 questions LOT-B/LOT-C; visual receipt shows delivered Jun 3 16:18 EDT.</t>
  </si>
  <si>
    <t xml:space="preserve">Antecedent cure notice; makes no disposition.</t>
  </si>
  <si>
    <t xml:space="preserve">Contract Cure Controls</t>
  </si>
  <si>
    <t xml:space="preserve">Correspondence/Seller Cure Election EXC-24017.docx</t>
  </si>
  <si>
    <t xml:space="preserve">embedded word/media/image1.jpg; transmittal paras 1-3</t>
  </si>
  <si>
    <t xml:space="preserve">Signed scan matches EXC-24017; Substitute Delivery is sole checked option; received Jun 6 16:41 EDT.</t>
  </si>
  <si>
    <t xml:space="preserve">Cure authorization, not automatic certificate acceptance.</t>
  </si>
  <si>
    <t xml:space="preserve">Contract Cure Controls; Lot Dispositions</t>
  </si>
  <si>
    <t xml:space="preserve">Delivery/Final Delivery Statement 2025-06-09.xlsx</t>
  </si>
  <si>
    <t xml:space="preserve">Tender Lots!A2:I7</t>
  </si>
  <si>
    <t xml:space="preserve">All original/replacement lot identities, periods, inclusive ranges, stated quantities, final tender 09:15.</t>
  </si>
  <si>
    <t xml:space="preserve">Seller claim subject to authority, registry, and uniqueness tests.</t>
  </si>
  <si>
    <t xml:space="preserve">Lot Dispositions; Quantity Reconciliation</t>
  </si>
  <si>
    <t xml:space="preserve">Delivery/Invoice INV-2025-0617.pdf</t>
  </si>
  <si>
    <t xml:space="preserve">Bills 1,000 × USD 18 = USD 18,000; pending acceptance; AP booking is not approval.</t>
  </si>
  <si>
    <t xml:space="preserve">Seller invoice claim subject to reconciliation.</t>
  </si>
  <si>
    <t xml:space="preserve">Financial Bridge</t>
  </si>
  <si>
    <t xml:space="preserve">Procurement/Broker Confirmation BRK-88402.docx</t>
  </si>
  <si>
    <t xml:space="preserve">embedded word/media/image1.jpg</t>
  </si>
  <si>
    <t xml:space="preserve">Blotter row BRK-88402 / MAI24 / 40 / 22.50 / 10:47:26 / FILLED.</t>
  </si>
  <si>
    <t xml:space="preserve">Independent visual corroboration of executed cover economics.</t>
  </si>
  <si>
    <t xml:space="preserve">Procurement/Cover Payment Advice.pdf</t>
  </si>
  <si>
    <t xml:space="preserve">PAY-2025-0609-88402 links BRK-88402 and USD 900, released; expressly not a seller credit memo and omits quantity/price.</t>
  </si>
  <si>
    <t xml:space="preserve">Cash-payment linkage only.</t>
  </si>
  <si>
    <t xml:space="preserve">Procurement/Cover Trade Capture BRK-88402.pdf</t>
  </si>
  <si>
    <t xml:space="preserve">p.1 embedded terminal image</t>
  </si>
  <si>
    <t xml:space="preserve">BRK-88402 executed 40 MWh 2024 MA Class I at USD 22.50 on Jun 9 10:47:26 EDT.</t>
  </si>
  <si>
    <t xml:space="preserve">Primary visual executed-trade record.</t>
  </si>
  <si>
    <t xml:space="preserve">References/2024 Annual Compliance Workbook.xlsx</t>
  </si>
  <si>
    <t xml:space="preserve">1. FilerInfo!A12; 4. Errant!B9,B13; 5. RPS I non-SCO!F13,H13</t>
  </si>
  <si>
    <t xml:space="preserve">Official blank filing interface distinguishes unsettled/status fields and Class I certificates applied.</t>
  </si>
  <si>
    <t xml:space="preserve">Official filing interface; does not decide tender lots.</t>
  </si>
  <si>
    <t xml:space="preserve">Inventory Posting; Action Register</t>
  </si>
  <si>
    <t xml:space="preserve">References/225 CMR 14.00 Class I.pdf</t>
  </si>
  <si>
    <t xml:space="preserve">p.1 §14.01; p.9 §14.05; p.34 §14.09(1)-(2)(c)</t>
  </si>
  <si>
    <t xml:space="preserve">Class I purpose/eligibility framework; annual filing by Jul 1; GIS ownership documentation required.</t>
  </si>
  <si>
    <t xml:space="preserve">Controlling program authority.</t>
  </si>
  <si>
    <t xml:space="preserve">Eligibility; Inventory Posting; Action Register</t>
  </si>
  <si>
    <t xml:space="preserve">References/EPA Guide to Purchasing Green Power.pdf</t>
  </si>
  <si>
    <t xml:space="preserve">p.65; p.66 REC Tracking Systems; p.103 glossary</t>
  </si>
  <si>
    <t xml:space="preserve">Contracts should state remedies; tracking systems uniquely number and track ownership; vintage is year of generation.</t>
  </si>
  <si>
    <t xml:space="preserve">Noncontrolling background only.</t>
  </si>
  <si>
    <t xml:space="preserve">Source precedence; Evidence Index</t>
  </si>
  <si>
    <t xml:space="preserve">References/Program Authority Locator Index.md</t>
  </si>
  <si>
    <t xml:space="preserve">Controlling program authority; Qualified generation unit authority; Official filing interface; Authority order</t>
  </si>
  <si>
    <t xml:space="preserve">Records source roles, effective scope, locators, hashes, and explicit authority order.</t>
  </si>
  <si>
    <t xml:space="preserve">Locator aid; does not decide tender lots.</t>
  </si>
  <si>
    <t xml:space="preserve">Decision Summary source precedence</t>
  </si>
  <si>
    <t xml:space="preserve">References/RPS Class I Qualified Units.xlsx</t>
  </si>
  <si>
    <t xml:space="preserve">Generation Units!A17:L17, A18:L18, A110:L110, A171:L171; Notes!A2,A5</t>
  </si>
  <si>
    <t xml:space="preserve">Exact NON38983, MSS424/Weldon, NON208580 records; effective dates and output limitations; effective date meaning.</t>
  </si>
  <si>
    <t xml:space="preserve">Official DOER unit authority.</t>
  </si>
  <si>
    <t xml:space="preserve">Eligibility; Qualification Exception</t>
  </si>
  <si>
    <t xml:space="preserve">Registry Evidence/Account Event Export.csv</t>
  </si>
  <si>
    <t xml:space="preserve">row 2 metadata; rows 3-8 route events</t>
  </si>
  <si>
    <t xml:space="preserve">Scheduled export cutoff 09:30; original and replacement transfers, exact identities, accounts, periods, ranges, quantities and statuses.</t>
  </si>
  <si>
    <t xml:space="preserve">Structured registry evidence only through its own cutoff.</t>
  </si>
  <si>
    <t xml:space="preserve">Lot Dispositions; Registry Lineage</t>
  </si>
  <si>
    <t xml:space="preserve">Registry Evidence/Cover Custody Confirmation BRK-88402.pdf</t>
  </si>
  <si>
    <t xml:space="preserve">p.1 embedded allocation ticket; p.2 embedded registry receipt</t>
  </si>
  <si>
    <t xml:space="preserve">Rendered pair links BRK-88402 to ALLOC-88402-A and exact 40-cert MSS424 2024Q4 batch; TX-772044 SETTLED to BSC-MA-4421 at 11:18:06.</t>
  </si>
  <si>
    <t xml:space="preserve">Primary final cover-custody evidence.</t>
  </si>
  <si>
    <t xml:space="preserve">Cover Custody; Inventory Posting</t>
  </si>
  <si>
    <t xml:space="preserve">Registry Evidence/Exception Markup.docx</t>
  </si>
  <si>
    <t xml:space="preserve">embedded image1 raw reversal, image2 marked reversal, image3 raw overlap, image4 marked overlap; paras 1-12</t>
  </si>
  <si>
    <t xml:space="preserve">Rendered same-dimension pairs preserve transaction/status/time and range geometry; annotations add bounded attention only.</t>
  </si>
  <si>
    <t xml:space="preserve">Derived attention layer admitted only with raw baselines.</t>
  </si>
  <si>
    <t xml:space="preserve">Registry Lineage</t>
  </si>
  <si>
    <t xml:space="preserve">Registry Evidence/Final Lot Review Packet.pdf</t>
  </si>
  <si>
    <t xml:space="preserve">p.1 embedded overview; p.2 embedded detail; p.4 embedded range matrix</t>
  </si>
  <si>
    <t xml:space="preserve">Rendered views show LOT-C transfer then later reversal; detail scopes TX-771903/001001-001200/BSC-MA-4421; range matrix shows 000351-000400 overlap.</t>
  </si>
  <si>
    <t xml:space="preserve">Primary live registry pixels after scheduled export cutoff.</t>
  </si>
  <si>
    <t xml:space="preserve">Registry Lineage; Lot Dispositions</t>
  </si>
  <si>
    <t xml:space="preserve">Settlement/Certificate Close Checklist.docx</t>
  </si>
  <si>
    <t xml:space="preserve">table 1 rows 2-9; para 4</t>
  </si>
  <si>
    <t xml:space="preserve">Lists evidence owners, pending outcome controls, Jun 16 dispute and Jul 1 readiness actions.</t>
  </si>
  <si>
    <t xml:space="preserve">Pending checklist; no settlement answers.</t>
  </si>
  <si>
    <t xml:space="preserve">Action Register; Evidence Index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</si>
</sst>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\$#,##0.00;[RED]&quot;-$&quot;#,##0.00"/>
    <numFmt numFmtId="167" formatCode="000000"/>
    <numFmt numFmtId="168" formatCode="\$#,##0.00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Cambria"/>
      <family val="0"/>
      <charset val="1"/>
    </font>
    <font>
      <i val="true"/>
      <sz val="10"/>
      <color rgb="FF595959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3"/>
      <color rgb="FF006100"/>
      <name val="Cambria"/>
      <family val="0"/>
      <charset val="1"/>
    </font>
    <font>
      <b val="true"/>
      <sz val="11"/>
      <color rgb="FF17365D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008C95"/>
        <bgColor rgb="FF008080"/>
      </patternFill>
    </fill>
    <fill>
      <patternFill patternType="solid">
        <fgColor rgb="FFE2F0D9"/>
        <bgColor rgb="FFFFF2CC"/>
      </patternFill>
    </fill>
    <fill>
      <patternFill patternType="solid">
        <fgColor rgb="FF2F75B5"/>
        <bgColor rgb="FF0066CC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008C95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006100"/>
        </patternFill>
      </fill>
    </dxf>
    <dxf>
      <fill>
        <patternFill patternType="solid">
          <fgColor rgb="FF17365D"/>
        </patternFill>
      </fill>
    </dxf>
    <dxf>
      <fill>
        <patternFill patternType="solid">
          <fgColor rgb="FF2F75B5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F2CC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C95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CE4D6"/>
      <rgbColor rgb="FF99CCFF"/>
      <rgbColor rgb="FFFF99CC"/>
      <rgbColor rgb="FFCC99FF"/>
      <rgbColor rgb="FFF4B183"/>
      <rgbColor rgb="FF2F75B5"/>
      <rgbColor rgb="FF33CCCC"/>
      <rgbColor rgb="FF99CC00"/>
      <rgbColor rgb="FFFFCC00"/>
      <rgbColor rgb="FFFF9900"/>
      <rgbColor rgb="FFFF6600"/>
      <rgbColor rgb="FF595959"/>
      <rgbColor rgb="FF70AD47"/>
      <rgbColor rgb="FF17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17365D"/>
    <pageSetUpPr fitToPage="true"/>
  </sheetPr>
  <dimension ref="A1:H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31.01"/>
    <col collapsed="false" customWidth="true" hidden="false" outlineLevel="0" max="4" min="2" style="0" width="22.01"/>
    <col collapsed="false" customWidth="true" hidden="false" outlineLevel="0" max="6" min="5" style="0" width="18"/>
    <col collapsed="false" customWidth="true" hidden="false" outlineLevel="0" max="7" min="7" style="0" width="19.99"/>
    <col collapsed="false" customWidth="true" hidden="false" outlineLevel="0" max="8" min="8" style="0" width="58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31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21.7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</row>
    <row r="5" customFormat="false" ht="15" hidden="false" customHeight="true" outlineLevel="0" collapsed="false">
      <c r="A5" s="4" t="s">
        <v>3</v>
      </c>
      <c r="B5" s="5" t="s">
        <v>4</v>
      </c>
      <c r="C5" s="6" t="s">
        <v>5</v>
      </c>
      <c r="D5" s="6"/>
      <c r="E5" s="6"/>
      <c r="F5" s="6"/>
      <c r="G5" s="6" t="s">
        <v>6</v>
      </c>
      <c r="H5" s="6" t="s">
        <v>7</v>
      </c>
    </row>
    <row r="6" customFormat="false" ht="15" hidden="false" customHeight="true" outlineLevel="0" collapsed="false">
      <c r="A6" s="4" t="s">
        <v>8</v>
      </c>
      <c r="B6" s="7" t="n">
        <f aca="false">'Quantity Reconciliation'!B11</f>
        <v>950</v>
      </c>
      <c r="C6" s="6" t="s">
        <v>9</v>
      </c>
      <c r="D6" s="6"/>
      <c r="E6" s="6"/>
      <c r="F6" s="6"/>
      <c r="G6" s="6" t="s">
        <v>6</v>
      </c>
      <c r="H6" s="6" t="s">
        <v>10</v>
      </c>
    </row>
    <row r="7" customFormat="false" ht="15" hidden="false" customHeight="true" outlineLevel="0" collapsed="false">
      <c r="A7" s="4" t="s">
        <v>11</v>
      </c>
      <c r="B7" s="7" t="n">
        <f aca="false">'Quantity Reconciliation'!B14</f>
        <v>40</v>
      </c>
      <c r="C7" s="6" t="s">
        <v>12</v>
      </c>
      <c r="D7" s="6"/>
      <c r="E7" s="6"/>
      <c r="F7" s="6"/>
      <c r="G7" s="6" t="s">
        <v>6</v>
      </c>
      <c r="H7" s="6" t="s">
        <v>13</v>
      </c>
    </row>
    <row r="8" customFormat="false" ht="15" hidden="false" customHeight="true" outlineLevel="0" collapsed="false">
      <c r="A8" s="4" t="s">
        <v>14</v>
      </c>
      <c r="B8" s="7" t="n">
        <f aca="false">'Quantity Reconciliation'!B15</f>
        <v>10</v>
      </c>
      <c r="C8" s="6" t="s">
        <v>15</v>
      </c>
      <c r="D8" s="6"/>
      <c r="E8" s="6"/>
      <c r="F8" s="6"/>
      <c r="G8" s="6" t="s">
        <v>6</v>
      </c>
      <c r="H8" s="6" t="s">
        <v>16</v>
      </c>
    </row>
    <row r="9" customFormat="false" ht="15" hidden="false" customHeight="true" outlineLevel="0" collapsed="false">
      <c r="A9" s="4" t="s">
        <v>17</v>
      </c>
      <c r="B9" s="7" t="n">
        <f aca="false">'Quantity Reconciliation'!B16</f>
        <v>1000</v>
      </c>
      <c r="C9" s="6" t="s">
        <v>18</v>
      </c>
      <c r="D9" s="6"/>
      <c r="E9" s="6"/>
      <c r="F9" s="6"/>
      <c r="G9" s="6" t="s">
        <v>6</v>
      </c>
      <c r="H9" s="6" t="s">
        <v>19</v>
      </c>
    </row>
    <row r="11" customFormat="false" ht="21.75" hidden="false" customHeight="true" outlineLevel="0" collapsed="false">
      <c r="A11" s="3" t="s">
        <v>20</v>
      </c>
      <c r="B11" s="3"/>
      <c r="C11" s="3"/>
      <c r="D11" s="3"/>
      <c r="E11" s="3"/>
      <c r="F11" s="3"/>
      <c r="G11" s="3"/>
      <c r="H11" s="3"/>
    </row>
    <row r="12" customFormat="false" ht="15" hidden="false" customHeight="true" outlineLevel="0" collapsed="false">
      <c r="A12" s="4" t="s">
        <v>21</v>
      </c>
      <c r="B12" s="8" t="n">
        <f aca="false">'Financial Bridge'!D4</f>
        <v>18000</v>
      </c>
      <c r="C12" s="6" t="s">
        <v>22</v>
      </c>
      <c r="D12" s="6" t="s">
        <v>23</v>
      </c>
      <c r="E12" s="6"/>
      <c r="F12" s="6"/>
      <c r="G12" s="6"/>
    </row>
    <row r="13" customFormat="false" ht="15" hidden="false" customHeight="true" outlineLevel="0" collapsed="false">
      <c r="A13" s="4" t="s">
        <v>24</v>
      </c>
      <c r="B13" s="8" t="n">
        <f aca="false">'Financial Bridge'!D6</f>
        <v>17100</v>
      </c>
      <c r="C13" s="6" t="s">
        <v>22</v>
      </c>
      <c r="D13" s="6" t="s">
        <v>25</v>
      </c>
      <c r="E13" s="6"/>
      <c r="F13" s="6"/>
      <c r="G13" s="6"/>
    </row>
    <row r="14" customFormat="false" ht="15" hidden="false" customHeight="true" outlineLevel="0" collapsed="false">
      <c r="A14" s="4" t="s">
        <v>26</v>
      </c>
      <c r="B14" s="8" t="n">
        <f aca="false">'Financial Bridge'!D12</f>
        <v>180</v>
      </c>
      <c r="C14" s="6" t="s">
        <v>22</v>
      </c>
      <c r="D14" s="6" t="s">
        <v>27</v>
      </c>
      <c r="E14" s="6"/>
      <c r="F14" s="6"/>
      <c r="G14" s="6"/>
    </row>
    <row r="15" customFormat="false" ht="15" hidden="false" customHeight="true" outlineLevel="0" collapsed="false">
      <c r="A15" s="4" t="s">
        <v>28</v>
      </c>
      <c r="B15" s="8" t="n">
        <f aca="false">'Financial Bridge'!D13</f>
        <v>0</v>
      </c>
      <c r="C15" s="6" t="s">
        <v>22</v>
      </c>
      <c r="D15" s="6" t="s">
        <v>29</v>
      </c>
      <c r="E15" s="6"/>
      <c r="F15" s="6"/>
      <c r="G15" s="6"/>
    </row>
    <row r="16" customFormat="false" ht="15" hidden="false" customHeight="true" outlineLevel="0" collapsed="false">
      <c r="A16" s="4" t="s">
        <v>30</v>
      </c>
      <c r="B16" s="9" t="n">
        <f aca="false">'Financial Bridge'!D14</f>
        <v>16920</v>
      </c>
      <c r="C16" s="6" t="s">
        <v>22</v>
      </c>
      <c r="D16" s="6" t="s">
        <v>31</v>
      </c>
      <c r="E16" s="6"/>
      <c r="F16" s="6"/>
      <c r="G16" s="6"/>
    </row>
    <row r="17" customFormat="false" ht="15" hidden="false" customHeight="true" outlineLevel="0" collapsed="false">
      <c r="A17" s="4" t="s">
        <v>32</v>
      </c>
      <c r="B17" s="8" t="n">
        <f aca="false">'Financial Bridge'!D15</f>
        <v>1080</v>
      </c>
      <c r="C17" s="6" t="s">
        <v>22</v>
      </c>
      <c r="D17" s="6" t="s">
        <v>33</v>
      </c>
      <c r="E17" s="6"/>
      <c r="F17" s="6"/>
      <c r="G17" s="6"/>
    </row>
    <row r="19" customFormat="false" ht="21.75" hidden="false" customHeight="true" outlineLevel="0" collapsed="false">
      <c r="A19" s="3" t="s">
        <v>34</v>
      </c>
      <c r="B19" s="3"/>
      <c r="C19" s="3"/>
      <c r="D19" s="3"/>
      <c r="E19" s="3"/>
      <c r="F19" s="3"/>
      <c r="G19" s="3"/>
      <c r="H19" s="3"/>
    </row>
    <row r="20" customFormat="false" ht="57.75" hidden="false" customHeight="true" outlineLevel="0" collapsed="false">
      <c r="A20" s="4" t="s">
        <v>35</v>
      </c>
      <c r="B20" s="6" t="s">
        <v>36</v>
      </c>
      <c r="C20" s="6"/>
      <c r="D20" s="6"/>
      <c r="E20" s="6"/>
      <c r="F20" s="6" t="s">
        <v>37</v>
      </c>
      <c r="G20" s="6"/>
      <c r="H20" s="6"/>
    </row>
    <row r="21" customFormat="false" ht="57.75" hidden="false" customHeight="true" outlineLevel="0" collapsed="false">
      <c r="A21" s="4" t="s">
        <v>38</v>
      </c>
      <c r="B21" s="6" t="s">
        <v>39</v>
      </c>
      <c r="C21" s="6"/>
      <c r="D21" s="6"/>
      <c r="E21" s="6"/>
      <c r="F21" s="6" t="s">
        <v>40</v>
      </c>
      <c r="G21" s="6"/>
      <c r="H21" s="6"/>
    </row>
    <row r="22" customFormat="false" ht="57.75" hidden="false" customHeight="true" outlineLevel="0" collapsed="false">
      <c r="A22" s="4" t="s">
        <v>41</v>
      </c>
      <c r="B22" s="6" t="s">
        <v>42</v>
      </c>
      <c r="C22" s="6"/>
      <c r="D22" s="6"/>
      <c r="E22" s="6"/>
      <c r="F22" s="6" t="s">
        <v>43</v>
      </c>
      <c r="G22" s="6"/>
      <c r="H22" s="6"/>
    </row>
    <row r="23" customFormat="false" ht="57.75" hidden="false" customHeight="true" outlineLevel="0" collapsed="false">
      <c r="A23" s="4" t="s">
        <v>44</v>
      </c>
      <c r="B23" s="6" t="s">
        <v>45</v>
      </c>
      <c r="C23" s="6"/>
      <c r="D23" s="6"/>
      <c r="E23" s="6"/>
      <c r="F23" s="6" t="s">
        <v>46</v>
      </c>
      <c r="G23" s="6"/>
      <c r="H23" s="6"/>
    </row>
    <row r="24" customFormat="false" ht="57.75" hidden="false" customHeight="true" outlineLevel="0" collapsed="false">
      <c r="A24" s="4" t="s">
        <v>47</v>
      </c>
      <c r="B24" s="6" t="s">
        <v>48</v>
      </c>
      <c r="C24" s="6"/>
      <c r="D24" s="6"/>
      <c r="E24" s="6"/>
      <c r="F24" s="6" t="s">
        <v>49</v>
      </c>
      <c r="G24" s="6"/>
      <c r="H24" s="6"/>
    </row>
    <row r="25" customFormat="false" ht="57.75" hidden="false" customHeight="true" outlineLevel="0" collapsed="false">
      <c r="A25" s="4" t="s">
        <v>50</v>
      </c>
      <c r="B25" s="6" t="s">
        <v>51</v>
      </c>
      <c r="C25" s="6"/>
      <c r="D25" s="6"/>
      <c r="E25" s="6"/>
      <c r="F25" s="6" t="s">
        <v>52</v>
      </c>
      <c r="G25" s="6"/>
      <c r="H25" s="6"/>
    </row>
    <row r="27" customFormat="false" ht="21.75" hidden="false" customHeight="true" outlineLevel="0" collapsed="false">
      <c r="A27" s="3" t="s">
        <v>53</v>
      </c>
      <c r="B27" s="3"/>
      <c r="C27" s="3"/>
      <c r="D27" s="3"/>
      <c r="E27" s="3"/>
      <c r="F27" s="3"/>
      <c r="G27" s="3"/>
      <c r="H27" s="3"/>
    </row>
    <row r="28" customFormat="false" ht="48" hidden="false" customHeight="true" outlineLevel="0" collapsed="false">
      <c r="A28" s="6" t="s">
        <v>54</v>
      </c>
      <c r="B28" s="6" t="s">
        <v>55</v>
      </c>
      <c r="C28" s="6"/>
      <c r="D28" s="6" t="s">
        <v>56</v>
      </c>
      <c r="E28" s="6"/>
      <c r="F28" s="6" t="s">
        <v>57</v>
      </c>
      <c r="G28" s="6"/>
      <c r="H28" s="6"/>
    </row>
    <row r="29" customFormat="false" ht="48" hidden="false" customHeight="true" outlineLevel="0" collapsed="false">
      <c r="A29" s="6" t="s">
        <v>58</v>
      </c>
      <c r="B29" s="6" t="s">
        <v>59</v>
      </c>
      <c r="C29" s="6"/>
      <c r="D29" s="6" t="s">
        <v>60</v>
      </c>
      <c r="E29" s="6"/>
      <c r="F29" s="6" t="s">
        <v>61</v>
      </c>
      <c r="G29" s="6"/>
      <c r="H29" s="6"/>
    </row>
    <row r="30" customFormat="false" ht="48" hidden="false" customHeight="true" outlineLevel="0" collapsed="false">
      <c r="A30" s="6" t="s">
        <v>62</v>
      </c>
      <c r="B30" s="6" t="s">
        <v>63</v>
      </c>
      <c r="C30" s="6"/>
      <c r="D30" s="6" t="s">
        <v>64</v>
      </c>
      <c r="E30" s="6"/>
      <c r="F30" s="6" t="s">
        <v>65</v>
      </c>
      <c r="G30" s="6"/>
      <c r="H30" s="6"/>
    </row>
  </sheetData>
  <autoFilter ref="A4:H30"/>
  <mergeCells count="38">
    <mergeCell ref="A1:H1"/>
    <mergeCell ref="A2:H2"/>
    <mergeCell ref="A4:H4"/>
    <mergeCell ref="C5:F5"/>
    <mergeCell ref="C6:F6"/>
    <mergeCell ref="C7:F7"/>
    <mergeCell ref="C8:F8"/>
    <mergeCell ref="C9:F9"/>
    <mergeCell ref="A11:H11"/>
    <mergeCell ref="D12:G12"/>
    <mergeCell ref="D13:G13"/>
    <mergeCell ref="D14:G14"/>
    <mergeCell ref="D15:G15"/>
    <mergeCell ref="D16:G16"/>
    <mergeCell ref="D17:G17"/>
    <mergeCell ref="A19:H19"/>
    <mergeCell ref="B20:E20"/>
    <mergeCell ref="F20:H20"/>
    <mergeCell ref="B21:E21"/>
    <mergeCell ref="F21:H21"/>
    <mergeCell ref="B22:E22"/>
    <mergeCell ref="F22:H22"/>
    <mergeCell ref="B23:E23"/>
    <mergeCell ref="F23:H23"/>
    <mergeCell ref="B24:E24"/>
    <mergeCell ref="F24:H24"/>
    <mergeCell ref="B25:E25"/>
    <mergeCell ref="F25:H25"/>
    <mergeCell ref="A27:H27"/>
    <mergeCell ref="B28:C28"/>
    <mergeCell ref="D28:E28"/>
    <mergeCell ref="F28:H28"/>
    <mergeCell ref="B29:C29"/>
    <mergeCell ref="D29:E29"/>
    <mergeCell ref="F29:H29"/>
    <mergeCell ref="B30:C30"/>
    <mergeCell ref="D30:E30"/>
    <mergeCell ref="F30:H30"/>
  </mergeCells>
  <printOptions headings="false" gridLines="false" gridLinesSet="true" horizontalCentered="false" verticalCentered="false"/>
  <pageMargins left="0.25" right="0.25" top="0.5" bottom="0.5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&amp;CREC-2024-017 | Sealed reference workpaper | As of 2025-06-09 12:00 EDT&amp;RPage &amp;P of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2F75B5"/>
    <pageSetUpPr fitToPage="true"/>
  </sheetPr>
  <dimension ref="A1:U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1.99"/>
    <col collapsed="false" customWidth="true" hidden="false" outlineLevel="0" max="2" min="2" style="0" width="18"/>
    <col collapsed="false" customWidth="true" hidden="false" outlineLevel="0" max="3" min="3" style="0" width="14.01"/>
    <col collapsed="false" customWidth="true" hidden="false" outlineLevel="0" max="4" min="4" style="0" width="11.99"/>
    <col collapsed="false" customWidth="true" hidden="false" outlineLevel="0" max="5" min="5" style="0" width="26"/>
    <col collapsed="false" customWidth="true" hidden="false" outlineLevel="0" max="6" min="6" style="0" width="16"/>
    <col collapsed="false" customWidth="true" hidden="false" outlineLevel="0" max="9" min="7" style="0" width="11.99"/>
    <col collapsed="false" customWidth="true" hidden="false" outlineLevel="0" max="10" min="10" style="0" width="35"/>
    <col collapsed="false" customWidth="true" hidden="false" outlineLevel="0" max="11" min="11" style="0" width="37.99"/>
    <col collapsed="false" customWidth="true" hidden="false" outlineLevel="0" max="12" min="12" style="0" width="32"/>
    <col collapsed="false" customWidth="true" hidden="false" outlineLevel="0" max="13" min="13" style="0" width="28.99"/>
    <col collapsed="false" customWidth="true" hidden="false" outlineLevel="0" max="14" min="14" style="0" width="35"/>
    <col collapsed="false" customWidth="true" hidden="false" outlineLevel="0" max="16" min="15" style="0" width="11.99"/>
    <col collapsed="false" customWidth="true" hidden="false" outlineLevel="0" max="17" min="17" style="0" width="37.99"/>
    <col collapsed="false" customWidth="true" hidden="false" outlineLevel="0" max="18" min="18" style="0" width="26"/>
    <col collapsed="false" customWidth="true" hidden="false" outlineLevel="0" max="19" min="19" style="0" width="36.99"/>
    <col collapsed="false" customWidth="true" hidden="false" outlineLevel="0" max="20" min="20" style="0" width="18"/>
    <col collapsed="false" customWidth="true" hidden="false" outlineLevel="0" max="21" min="21" style="0" width="70"/>
  </cols>
  <sheetData>
    <row r="1" customFormat="false" ht="27.75" hidden="false" customHeight="true" outlineLevel="0" collapsed="false">
      <c r="A1" s="1" t="s">
        <v>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31.5" hidden="false" customHeight="true" outlineLevel="0" collapsed="false">
      <c r="A2" s="2" t="s">
        <v>67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customFormat="false" ht="31.5" hidden="false" customHeight="true" outlineLevel="0" collapsed="false">
      <c r="A3" s="10" t="s">
        <v>68</v>
      </c>
      <c r="B3" s="10" t="s">
        <v>69</v>
      </c>
      <c r="C3" s="10" t="s">
        <v>70</v>
      </c>
      <c r="D3" s="10" t="s">
        <v>71</v>
      </c>
      <c r="E3" s="10" t="s">
        <v>72</v>
      </c>
      <c r="F3" s="10" t="s">
        <v>73</v>
      </c>
      <c r="G3" s="10" t="s">
        <v>74</v>
      </c>
      <c r="H3" s="10" t="s">
        <v>75</v>
      </c>
      <c r="I3" s="10" t="s">
        <v>76</v>
      </c>
      <c r="J3" s="10" t="s">
        <v>77</v>
      </c>
      <c r="K3" s="10" t="s">
        <v>78</v>
      </c>
      <c r="L3" s="10" t="s">
        <v>79</v>
      </c>
      <c r="M3" s="10" t="s">
        <v>80</v>
      </c>
      <c r="N3" s="10" t="s">
        <v>81</v>
      </c>
      <c r="O3" s="10" t="s">
        <v>82</v>
      </c>
      <c r="P3" s="10" t="s">
        <v>83</v>
      </c>
      <c r="Q3" s="10" t="s">
        <v>84</v>
      </c>
      <c r="R3" s="10" t="s">
        <v>85</v>
      </c>
      <c r="S3" s="10" t="s">
        <v>86</v>
      </c>
      <c r="T3" s="10" t="s">
        <v>87</v>
      </c>
      <c r="U3" s="10" t="s">
        <v>88</v>
      </c>
    </row>
    <row r="4" customFormat="false" ht="109.5" hidden="false" customHeight="true" outlineLevel="0" collapsed="false">
      <c r="A4" s="6" t="s">
        <v>89</v>
      </c>
      <c r="B4" s="6" t="s">
        <v>90</v>
      </c>
      <c r="C4" s="6" t="s">
        <v>91</v>
      </c>
      <c r="D4" s="6" t="s">
        <v>92</v>
      </c>
      <c r="E4" s="6" t="s">
        <v>93</v>
      </c>
      <c r="F4" s="6" t="s">
        <v>94</v>
      </c>
      <c r="G4" s="11" t="n">
        <v>1</v>
      </c>
      <c r="H4" s="11" t="n">
        <v>400</v>
      </c>
      <c r="I4" s="12" t="n">
        <v>400</v>
      </c>
      <c r="J4" s="6" t="s">
        <v>95</v>
      </c>
      <c r="K4" s="6" t="s">
        <v>96</v>
      </c>
      <c r="L4" s="6" t="s">
        <v>97</v>
      </c>
      <c r="M4" s="6" t="s">
        <v>98</v>
      </c>
      <c r="N4" s="13" t="s">
        <v>99</v>
      </c>
      <c r="O4" s="12" t="n">
        <v>400</v>
      </c>
      <c r="P4" s="12" t="n">
        <v>0</v>
      </c>
      <c r="Q4" s="6" t="s">
        <v>100</v>
      </c>
      <c r="R4" s="6" t="s">
        <v>101</v>
      </c>
      <c r="S4" s="6" t="s">
        <v>102</v>
      </c>
      <c r="T4" s="6" t="s">
        <v>103</v>
      </c>
      <c r="U4" s="6" t="s">
        <v>104</v>
      </c>
    </row>
    <row r="5" customFormat="false" ht="109.5" hidden="false" customHeight="true" outlineLevel="0" collapsed="false">
      <c r="A5" s="6" t="s">
        <v>105</v>
      </c>
      <c r="B5" s="6" t="s">
        <v>90</v>
      </c>
      <c r="C5" s="6" t="s">
        <v>106</v>
      </c>
      <c r="D5" s="6" t="s">
        <v>107</v>
      </c>
      <c r="E5" s="6" t="s">
        <v>108</v>
      </c>
      <c r="F5" s="6" t="s">
        <v>109</v>
      </c>
      <c r="G5" s="11" t="n">
        <v>1</v>
      </c>
      <c r="H5" s="11" t="n">
        <v>250</v>
      </c>
      <c r="I5" s="12" t="n">
        <v>250</v>
      </c>
      <c r="J5" s="6" t="s">
        <v>110</v>
      </c>
      <c r="K5" s="6" t="s">
        <v>111</v>
      </c>
      <c r="L5" s="6" t="s">
        <v>112</v>
      </c>
      <c r="M5" s="6" t="s">
        <v>98</v>
      </c>
      <c r="N5" s="14" t="s">
        <v>113</v>
      </c>
      <c r="O5" s="12" t="n">
        <v>0</v>
      </c>
      <c r="P5" s="12" t="n">
        <v>250</v>
      </c>
      <c r="Q5" s="6" t="s">
        <v>114</v>
      </c>
      <c r="R5" s="6" t="s">
        <v>101</v>
      </c>
      <c r="S5" s="6" t="s">
        <v>115</v>
      </c>
      <c r="T5" s="6" t="s">
        <v>116</v>
      </c>
      <c r="U5" s="6" t="s">
        <v>117</v>
      </c>
    </row>
    <row r="6" customFormat="false" ht="109.5" hidden="false" customHeight="true" outlineLevel="0" collapsed="false">
      <c r="A6" s="6" t="s">
        <v>118</v>
      </c>
      <c r="B6" s="6" t="s">
        <v>90</v>
      </c>
      <c r="C6" s="6" t="s">
        <v>91</v>
      </c>
      <c r="D6" s="6" t="s">
        <v>92</v>
      </c>
      <c r="E6" s="6" t="s">
        <v>93</v>
      </c>
      <c r="F6" s="6" t="s">
        <v>119</v>
      </c>
      <c r="G6" s="11" t="n">
        <v>1001</v>
      </c>
      <c r="H6" s="11" t="n">
        <v>1200</v>
      </c>
      <c r="I6" s="12" t="n">
        <v>200</v>
      </c>
      <c r="J6" s="6" t="s">
        <v>120</v>
      </c>
      <c r="K6" s="6" t="s">
        <v>121</v>
      </c>
      <c r="L6" s="6" t="s">
        <v>122</v>
      </c>
      <c r="M6" s="6" t="s">
        <v>98</v>
      </c>
      <c r="N6" s="14" t="s">
        <v>123</v>
      </c>
      <c r="O6" s="12" t="n">
        <v>0</v>
      </c>
      <c r="P6" s="12" t="n">
        <v>200</v>
      </c>
      <c r="Q6" s="6" t="s">
        <v>124</v>
      </c>
      <c r="R6" s="6" t="s">
        <v>125</v>
      </c>
      <c r="S6" s="6" t="s">
        <v>126</v>
      </c>
      <c r="T6" s="6" t="s">
        <v>116</v>
      </c>
      <c r="U6" s="6" t="s">
        <v>127</v>
      </c>
    </row>
    <row r="7" customFormat="false" ht="109.5" hidden="false" customHeight="true" outlineLevel="0" collapsed="false">
      <c r="A7" s="6" t="s">
        <v>128</v>
      </c>
      <c r="B7" s="6" t="s">
        <v>90</v>
      </c>
      <c r="C7" s="6" t="s">
        <v>129</v>
      </c>
      <c r="D7" s="6" t="s">
        <v>130</v>
      </c>
      <c r="E7" s="6" t="s">
        <v>131</v>
      </c>
      <c r="F7" s="6" t="s">
        <v>132</v>
      </c>
      <c r="G7" s="11" t="n">
        <v>2001</v>
      </c>
      <c r="H7" s="11" t="n">
        <v>2150</v>
      </c>
      <c r="I7" s="12" t="n">
        <v>150</v>
      </c>
      <c r="J7" s="6" t="s">
        <v>133</v>
      </c>
      <c r="K7" s="6" t="s">
        <v>134</v>
      </c>
      <c r="L7" s="6" t="s">
        <v>135</v>
      </c>
      <c r="M7" s="6" t="s">
        <v>136</v>
      </c>
      <c r="N7" s="13" t="s">
        <v>137</v>
      </c>
      <c r="O7" s="12" t="n">
        <v>150</v>
      </c>
      <c r="P7" s="12" t="n">
        <v>0</v>
      </c>
      <c r="Q7" s="6" t="s">
        <v>100</v>
      </c>
      <c r="R7" s="6" t="s">
        <v>138</v>
      </c>
      <c r="S7" s="6" t="s">
        <v>139</v>
      </c>
      <c r="T7" s="6" t="s">
        <v>140</v>
      </c>
      <c r="U7" s="6" t="s">
        <v>141</v>
      </c>
    </row>
    <row r="8" customFormat="false" ht="109.5" hidden="false" customHeight="true" outlineLevel="0" collapsed="false">
      <c r="A8" s="6" t="s">
        <v>142</v>
      </c>
      <c r="B8" s="6" t="s">
        <v>143</v>
      </c>
      <c r="C8" s="6" t="s">
        <v>91</v>
      </c>
      <c r="D8" s="6" t="s">
        <v>92</v>
      </c>
      <c r="E8" s="6" t="s">
        <v>93</v>
      </c>
      <c r="F8" s="6" t="s">
        <v>109</v>
      </c>
      <c r="G8" s="11" t="n">
        <v>3001</v>
      </c>
      <c r="H8" s="11" t="n">
        <v>3250</v>
      </c>
      <c r="I8" s="12" t="n">
        <v>250</v>
      </c>
      <c r="J8" s="6" t="s">
        <v>144</v>
      </c>
      <c r="K8" s="6" t="s">
        <v>145</v>
      </c>
      <c r="L8" s="6" t="s">
        <v>146</v>
      </c>
      <c r="M8" s="6" t="s">
        <v>98</v>
      </c>
      <c r="N8" s="13" t="s">
        <v>147</v>
      </c>
      <c r="O8" s="12" t="n">
        <v>250</v>
      </c>
      <c r="P8" s="12" t="n">
        <v>0</v>
      </c>
      <c r="Q8" s="6" t="s">
        <v>148</v>
      </c>
      <c r="R8" s="6" t="s">
        <v>101</v>
      </c>
      <c r="S8" s="6" t="s">
        <v>149</v>
      </c>
      <c r="T8" s="6" t="s">
        <v>150</v>
      </c>
      <c r="U8" s="6" t="s">
        <v>151</v>
      </c>
    </row>
    <row r="9" customFormat="false" ht="109.5" hidden="false" customHeight="true" outlineLevel="0" collapsed="false">
      <c r="A9" s="6" t="s">
        <v>152</v>
      </c>
      <c r="B9" s="6" t="s">
        <v>153</v>
      </c>
      <c r="C9" s="6" t="s">
        <v>91</v>
      </c>
      <c r="D9" s="6" t="s">
        <v>92</v>
      </c>
      <c r="E9" s="6" t="s">
        <v>93</v>
      </c>
      <c r="F9" s="6" t="s">
        <v>94</v>
      </c>
      <c r="G9" s="11" t="n">
        <v>351</v>
      </c>
      <c r="H9" s="11" t="n">
        <v>550</v>
      </c>
      <c r="I9" s="12" t="n">
        <v>200</v>
      </c>
      <c r="J9" s="6" t="s">
        <v>120</v>
      </c>
      <c r="K9" s="6" t="s">
        <v>154</v>
      </c>
      <c r="L9" s="6" t="s">
        <v>155</v>
      </c>
      <c r="M9" s="6" t="s">
        <v>98</v>
      </c>
      <c r="N9" s="15" t="s">
        <v>156</v>
      </c>
      <c r="O9" s="12" t="n">
        <v>150</v>
      </c>
      <c r="P9" s="12" t="n">
        <v>50</v>
      </c>
      <c r="Q9" s="6" t="s">
        <v>157</v>
      </c>
      <c r="R9" s="6" t="s">
        <v>158</v>
      </c>
      <c r="S9" s="6" t="s">
        <v>159</v>
      </c>
      <c r="T9" s="6" t="s">
        <v>140</v>
      </c>
      <c r="U9" s="6" t="s">
        <v>160</v>
      </c>
    </row>
  </sheetData>
  <autoFilter ref="A3:U9"/>
  <mergeCells count="2">
    <mergeCell ref="A1:U1"/>
    <mergeCell ref="A2:U2"/>
  </mergeCells>
  <printOptions headings="false" gridLines="false" gridLinesSet="true" horizontalCentered="false" verticalCentered="false"/>
  <pageMargins left="0.25" right="0.25" top="0.5" bottom="0.5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&amp;CREC-2024-017 | Sealed reference workpaper | As of 2025-06-09 12:00 EDT&amp;RPage &amp;P of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008C95"/>
    <pageSetUpPr fitToPage="tru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.01"/>
    <col collapsed="false" customWidth="true" hidden="false" outlineLevel="0" max="3" min="3" style="0" width="34"/>
    <col collapsed="false" customWidth="true" hidden="false" outlineLevel="0" max="4" min="4" style="0" width="37.99"/>
    <col collapsed="false" customWidth="true" hidden="false" outlineLevel="0" max="5" min="5" style="0" width="26"/>
    <col collapsed="false" customWidth="true" hidden="false" outlineLevel="0" max="6" min="6" style="0" width="18"/>
    <col collapsed="false" customWidth="true" hidden="false" outlineLevel="0" max="7" min="7" style="0" width="70"/>
  </cols>
  <sheetData>
    <row r="1" customFormat="false" ht="27.75" hidden="false" customHeight="true" outlineLevel="0" collapsed="false">
      <c r="A1" s="1" t="s">
        <v>161</v>
      </c>
      <c r="B1" s="1"/>
      <c r="C1" s="1"/>
      <c r="D1" s="1"/>
      <c r="E1" s="1"/>
      <c r="F1" s="1"/>
      <c r="G1" s="1"/>
    </row>
    <row r="2" customFormat="false" ht="31.5" hidden="false" customHeight="true" outlineLevel="0" collapsed="false">
      <c r="A2" s="2" t="s">
        <v>162</v>
      </c>
      <c r="B2" s="2"/>
      <c r="C2" s="2"/>
      <c r="D2" s="2"/>
      <c r="E2" s="2"/>
      <c r="F2" s="2"/>
      <c r="G2" s="2"/>
    </row>
    <row r="3" customFormat="false" ht="31.5" hidden="false" customHeight="true" outlineLevel="0" collapsed="false">
      <c r="A3" s="10" t="s">
        <v>163</v>
      </c>
      <c r="B3" s="10" t="s">
        <v>164</v>
      </c>
      <c r="C3" s="10" t="s">
        <v>165</v>
      </c>
      <c r="D3" s="10" t="s">
        <v>166</v>
      </c>
      <c r="E3" s="10" t="s">
        <v>167</v>
      </c>
      <c r="F3" s="10" t="s">
        <v>168</v>
      </c>
      <c r="G3" s="10" t="s">
        <v>169</v>
      </c>
    </row>
    <row r="4" customFormat="false" ht="43.5" hidden="false" customHeight="true" outlineLevel="0" collapsed="false">
      <c r="A4" s="6" t="s">
        <v>170</v>
      </c>
      <c r="B4" s="12" t="n">
        <v>1000</v>
      </c>
      <c r="C4" s="6" t="s">
        <v>171</v>
      </c>
      <c r="D4" s="6" t="s">
        <v>172</v>
      </c>
      <c r="E4" s="6" t="s">
        <v>101</v>
      </c>
      <c r="F4" s="6" t="s">
        <v>173</v>
      </c>
      <c r="G4" s="6" t="s">
        <v>174</v>
      </c>
    </row>
    <row r="5" customFormat="false" ht="43.5" hidden="false" customHeight="true" outlineLevel="0" collapsed="false">
      <c r="A5" s="6" t="s">
        <v>175</v>
      </c>
      <c r="B5" s="12" t="n">
        <f aca="false">SUM('Lot Dispositions'!I4:I7)</f>
        <v>1000</v>
      </c>
      <c r="C5" s="6" t="s">
        <v>176</v>
      </c>
      <c r="D5" s="6" t="s">
        <v>177</v>
      </c>
      <c r="E5" s="6" t="s">
        <v>101</v>
      </c>
      <c r="F5" s="6" t="s">
        <v>178</v>
      </c>
      <c r="G5" s="6" t="s">
        <v>179</v>
      </c>
    </row>
    <row r="6" customFormat="false" ht="43.5" hidden="false" customHeight="true" outlineLevel="0" collapsed="false">
      <c r="A6" s="6" t="s">
        <v>180</v>
      </c>
      <c r="B6" s="12" t="n">
        <f aca="false">'Lot Dispositions'!O4+'Lot Dispositions'!O7</f>
        <v>550</v>
      </c>
      <c r="C6" s="6" t="s">
        <v>181</v>
      </c>
      <c r="D6" s="6" t="s">
        <v>182</v>
      </c>
      <c r="E6" s="6" t="s">
        <v>101</v>
      </c>
      <c r="F6" s="6" t="s">
        <v>183</v>
      </c>
      <c r="G6" s="6" t="s">
        <v>184</v>
      </c>
    </row>
    <row r="7" customFormat="false" ht="43.5" hidden="false" customHeight="true" outlineLevel="0" collapsed="false">
      <c r="A7" s="6" t="s">
        <v>185</v>
      </c>
      <c r="B7" s="12" t="n">
        <f aca="false">B4-B6</f>
        <v>450</v>
      </c>
      <c r="C7" s="6" t="s">
        <v>186</v>
      </c>
      <c r="D7" s="6" t="s">
        <v>187</v>
      </c>
      <c r="E7" s="6" t="s">
        <v>101</v>
      </c>
      <c r="F7" s="6" t="s">
        <v>188</v>
      </c>
      <c r="G7" s="6" t="s">
        <v>189</v>
      </c>
    </row>
    <row r="8" customFormat="false" ht="43.5" hidden="false" customHeight="true" outlineLevel="0" collapsed="false">
      <c r="A8" s="6" t="s">
        <v>190</v>
      </c>
      <c r="B8" s="12" t="n">
        <f aca="false">SUM('Lot Dispositions'!I8:I9)</f>
        <v>450</v>
      </c>
      <c r="C8" s="6" t="s">
        <v>191</v>
      </c>
      <c r="D8" s="6" t="s">
        <v>192</v>
      </c>
      <c r="E8" s="6" t="s">
        <v>101</v>
      </c>
      <c r="F8" s="6" t="s">
        <v>193</v>
      </c>
      <c r="G8" s="6" t="s">
        <v>194</v>
      </c>
    </row>
    <row r="9" customFormat="false" ht="43.5" hidden="false" customHeight="true" outlineLevel="0" collapsed="false">
      <c r="A9" s="6" t="s">
        <v>195</v>
      </c>
      <c r="B9" s="12" t="n">
        <f aca="false">SUM('Lot Dispositions'!O8:O9)</f>
        <v>400</v>
      </c>
      <c r="C9" s="6" t="s">
        <v>196</v>
      </c>
      <c r="D9" s="6" t="s">
        <v>197</v>
      </c>
      <c r="E9" s="6" t="s">
        <v>101</v>
      </c>
      <c r="F9" s="6" t="s">
        <v>198</v>
      </c>
      <c r="G9" s="6" t="s">
        <v>199</v>
      </c>
    </row>
    <row r="10" customFormat="false" ht="43.5" hidden="false" customHeight="true" outlineLevel="0" collapsed="false">
      <c r="A10" s="6" t="s">
        <v>200</v>
      </c>
      <c r="B10" s="12" t="n">
        <f aca="false">'Lot Dispositions'!P9</f>
        <v>50</v>
      </c>
      <c r="C10" s="6" t="s">
        <v>201</v>
      </c>
      <c r="D10" s="6" t="s">
        <v>202</v>
      </c>
      <c r="E10" s="6" t="s">
        <v>101</v>
      </c>
      <c r="F10" s="6" t="s">
        <v>203</v>
      </c>
      <c r="G10" s="6" t="s">
        <v>204</v>
      </c>
    </row>
    <row r="11" customFormat="false" ht="43.5" hidden="false" customHeight="true" outlineLevel="0" collapsed="false">
      <c r="A11" s="6" t="s">
        <v>205</v>
      </c>
      <c r="B11" s="16" t="n">
        <f aca="false">B6+B9</f>
        <v>950</v>
      </c>
      <c r="C11" s="6" t="s">
        <v>206</v>
      </c>
      <c r="D11" s="6" t="s">
        <v>207</v>
      </c>
      <c r="E11" s="6" t="s">
        <v>101</v>
      </c>
      <c r="F11" s="6" t="s">
        <v>208</v>
      </c>
      <c r="G11" s="6" t="s">
        <v>209</v>
      </c>
    </row>
    <row r="12" customFormat="false" ht="43.5" hidden="false" customHeight="true" outlineLevel="0" collapsed="false">
      <c r="A12" s="6" t="s">
        <v>210</v>
      </c>
      <c r="B12" s="12" t="n">
        <f aca="false">B4-B11</f>
        <v>50</v>
      </c>
      <c r="C12" s="6" t="s">
        <v>211</v>
      </c>
      <c r="D12" s="6" t="s">
        <v>212</v>
      </c>
      <c r="E12" s="6" t="s">
        <v>101</v>
      </c>
      <c r="F12" s="6" t="s">
        <v>213</v>
      </c>
      <c r="G12" s="6" t="s">
        <v>214</v>
      </c>
    </row>
    <row r="13" customFormat="false" ht="43.5" hidden="false" customHeight="true" outlineLevel="0" collapsed="false">
      <c r="A13" s="6" t="s">
        <v>215</v>
      </c>
      <c r="B13" s="12" t="n">
        <v>40</v>
      </c>
      <c r="C13" s="6" t="s">
        <v>216</v>
      </c>
      <c r="D13" s="6" t="s">
        <v>217</v>
      </c>
      <c r="E13" s="6" t="s">
        <v>218</v>
      </c>
      <c r="F13" s="6" t="s">
        <v>219</v>
      </c>
      <c r="G13" s="6" t="s">
        <v>220</v>
      </c>
    </row>
    <row r="14" customFormat="false" ht="43.5" hidden="false" customHeight="true" outlineLevel="0" collapsed="false">
      <c r="A14" s="6" t="s">
        <v>221</v>
      </c>
      <c r="B14" s="12" t="n">
        <v>40</v>
      </c>
      <c r="C14" s="6" t="s">
        <v>222</v>
      </c>
      <c r="D14" s="6" t="s">
        <v>223</v>
      </c>
      <c r="E14" s="6" t="s">
        <v>224</v>
      </c>
      <c r="F14" s="6" t="s">
        <v>225</v>
      </c>
      <c r="G14" s="6" t="s">
        <v>226</v>
      </c>
    </row>
    <row r="15" customFormat="false" ht="43.5" hidden="false" customHeight="true" outlineLevel="0" collapsed="false">
      <c r="A15" s="6" t="s">
        <v>227</v>
      </c>
      <c r="B15" s="17" t="n">
        <f aca="false">B12-B14</f>
        <v>10</v>
      </c>
      <c r="C15" s="6" t="s">
        <v>228</v>
      </c>
      <c r="D15" s="6" t="s">
        <v>229</v>
      </c>
      <c r="E15" s="6" t="s">
        <v>230</v>
      </c>
      <c r="F15" s="6" t="s">
        <v>231</v>
      </c>
      <c r="G15" s="6" t="s">
        <v>232</v>
      </c>
    </row>
    <row r="16" customFormat="false" ht="43.5" hidden="false" customHeight="true" outlineLevel="0" collapsed="false">
      <c r="A16" s="6" t="s">
        <v>233</v>
      </c>
      <c r="B16" s="16" t="n">
        <f aca="false">B11+B14+B15</f>
        <v>1000</v>
      </c>
      <c r="C16" s="6" t="s">
        <v>234</v>
      </c>
      <c r="D16" s="6" t="s">
        <v>235</v>
      </c>
      <c r="E16" s="6" t="s">
        <v>236</v>
      </c>
      <c r="F16" s="6" t="s">
        <v>237</v>
      </c>
      <c r="G16" s="6" t="s">
        <v>238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25" right="0.25" top="0.5" bottom="0.5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&amp;CREC-2024-017 | Sealed reference workpaper | As of 2025-06-09 12:00 EDT&amp;RPage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4B183"/>
    <pageSetUpPr fitToPage="tru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37.99"/>
    <col collapsed="false" customWidth="true" hidden="false" outlineLevel="0" max="2" min="2" style="0" width="14.01"/>
    <col collapsed="false" customWidth="true" hidden="false" outlineLevel="0" max="3" min="3" style="0" width="19"/>
    <col collapsed="false" customWidth="true" hidden="false" outlineLevel="0" max="4" min="4" style="0" width="18"/>
    <col collapsed="false" customWidth="true" hidden="false" outlineLevel="0" max="5" min="5" style="0" width="50"/>
    <col collapsed="false" customWidth="true" hidden="false" outlineLevel="0" max="6" min="6" style="0" width="70"/>
  </cols>
  <sheetData>
    <row r="1" customFormat="false" ht="27.75" hidden="false" customHeight="true" outlineLevel="0" collapsed="false">
      <c r="A1" s="1" t="s">
        <v>239</v>
      </c>
      <c r="B1" s="1"/>
      <c r="C1" s="1"/>
      <c r="D1" s="1"/>
      <c r="E1" s="1"/>
      <c r="F1" s="1"/>
    </row>
    <row r="2" customFormat="false" ht="31.5" hidden="false" customHeight="true" outlineLevel="0" collapsed="false">
      <c r="A2" s="2" t="s">
        <v>240</v>
      </c>
      <c r="B2" s="2"/>
      <c r="C2" s="2"/>
      <c r="D2" s="2"/>
      <c r="E2" s="2"/>
      <c r="F2" s="2"/>
    </row>
    <row r="3" customFormat="false" ht="31.5" hidden="false" customHeight="true" outlineLevel="0" collapsed="false">
      <c r="A3" s="10" t="s">
        <v>241</v>
      </c>
      <c r="B3" s="10" t="s">
        <v>164</v>
      </c>
      <c r="C3" s="10" t="s">
        <v>242</v>
      </c>
      <c r="D3" s="10" t="s">
        <v>243</v>
      </c>
      <c r="E3" s="10" t="s">
        <v>244</v>
      </c>
      <c r="F3" s="10" t="s">
        <v>169</v>
      </c>
    </row>
    <row r="4" customFormat="false" ht="43.5" hidden="false" customHeight="true" outlineLevel="0" collapsed="false">
      <c r="A4" s="6" t="s">
        <v>21</v>
      </c>
      <c r="B4" s="12" t="n">
        <v>1000</v>
      </c>
      <c r="C4" s="18" t="n">
        <v>18</v>
      </c>
      <c r="D4" s="19" t="n">
        <f aca="false">B4*C4</f>
        <v>18000</v>
      </c>
      <c r="E4" s="6" t="s">
        <v>245</v>
      </c>
      <c r="F4" s="6" t="s">
        <v>246</v>
      </c>
    </row>
    <row r="5" customFormat="false" ht="43.5" hidden="false" customHeight="true" outlineLevel="0" collapsed="false">
      <c r="A5" s="6" t="s">
        <v>247</v>
      </c>
      <c r="B5" s="12" t="n">
        <f aca="false">'Quantity Reconciliation'!B12</f>
        <v>50</v>
      </c>
      <c r="C5" s="18" t="n">
        <v>18</v>
      </c>
      <c r="D5" s="19" t="n">
        <f aca="false">B5*C5</f>
        <v>900</v>
      </c>
      <c r="E5" s="6" t="s">
        <v>248</v>
      </c>
      <c r="F5" s="6" t="s">
        <v>249</v>
      </c>
    </row>
    <row r="6" customFormat="false" ht="43.5" hidden="false" customHeight="true" outlineLevel="0" collapsed="false">
      <c r="A6" s="6" t="s">
        <v>24</v>
      </c>
      <c r="B6" s="12" t="n">
        <f aca="false">'Quantity Reconciliation'!B11</f>
        <v>950</v>
      </c>
      <c r="C6" s="18" t="n">
        <v>18</v>
      </c>
      <c r="D6" s="20" t="n">
        <f aca="false">B6*C6</f>
        <v>17100</v>
      </c>
      <c r="E6" s="6" t="s">
        <v>250</v>
      </c>
      <c r="F6" s="6" t="s">
        <v>251</v>
      </c>
    </row>
    <row r="7" customFormat="false" ht="43.5" hidden="false" customHeight="true" outlineLevel="0" collapsed="false">
      <c r="A7" s="6" t="s">
        <v>252</v>
      </c>
      <c r="B7" s="12" t="n">
        <v>40</v>
      </c>
      <c r="C7" s="18" t="n">
        <v>22.5</v>
      </c>
      <c r="D7" s="19" t="n">
        <f aca="false">B7*C7</f>
        <v>900</v>
      </c>
      <c r="E7" s="6" t="s">
        <v>253</v>
      </c>
      <c r="F7" s="6" t="s">
        <v>254</v>
      </c>
    </row>
    <row r="8" customFormat="false" ht="43.5" hidden="false" customHeight="true" outlineLevel="0" collapsed="false">
      <c r="A8" s="6" t="s">
        <v>255</v>
      </c>
      <c r="B8" s="12" t="n">
        <v>40</v>
      </c>
      <c r="C8" s="18" t="n">
        <v>18</v>
      </c>
      <c r="D8" s="19" t="n">
        <f aca="false">B8*C8</f>
        <v>720</v>
      </c>
      <c r="E8" s="6" t="s">
        <v>256</v>
      </c>
      <c r="F8" s="6" t="s">
        <v>257</v>
      </c>
    </row>
    <row r="9" customFormat="false" ht="43.5" hidden="false" customHeight="true" outlineLevel="0" collapsed="false">
      <c r="A9" s="6" t="s">
        <v>258</v>
      </c>
      <c r="B9" s="12" t="n">
        <v>1</v>
      </c>
      <c r="C9" s="18" t="n">
        <f aca="false">MAX(C7-C8,0)</f>
        <v>4.5</v>
      </c>
      <c r="D9" s="19" t="n">
        <f aca="false">C9</f>
        <v>4.5</v>
      </c>
      <c r="E9" s="6" t="s">
        <v>259</v>
      </c>
      <c r="F9" s="6" t="s">
        <v>260</v>
      </c>
    </row>
    <row r="10" customFormat="false" ht="43.5" hidden="false" customHeight="true" outlineLevel="0" collapsed="false">
      <c r="A10" s="6" t="s">
        <v>261</v>
      </c>
      <c r="B10" s="12" t="n">
        <v>40</v>
      </c>
      <c r="C10" s="18" t="n">
        <f aca="false">C9</f>
        <v>4.5</v>
      </c>
      <c r="D10" s="19" t="n">
        <f aca="false">B10*C10</f>
        <v>180</v>
      </c>
      <c r="E10" s="6" t="s">
        <v>262</v>
      </c>
      <c r="F10" s="6" t="s">
        <v>263</v>
      </c>
    </row>
    <row r="11" customFormat="false" ht="43.5" hidden="false" customHeight="true" outlineLevel="0" collapsed="false">
      <c r="A11" s="6" t="s">
        <v>264</v>
      </c>
      <c r="B11" s="12" t="n">
        <v>40</v>
      </c>
      <c r="C11" s="18" t="n">
        <v>22.5</v>
      </c>
      <c r="D11" s="19" t="n">
        <f aca="false">B11*C11</f>
        <v>900</v>
      </c>
      <c r="E11" s="6" t="s">
        <v>265</v>
      </c>
      <c r="F11" s="6" t="s">
        <v>266</v>
      </c>
    </row>
    <row r="12" customFormat="false" ht="43.5" hidden="false" customHeight="true" outlineLevel="0" collapsed="false">
      <c r="A12" s="6" t="s">
        <v>26</v>
      </c>
      <c r="B12" s="12" t="n">
        <v>40</v>
      </c>
      <c r="C12" s="18" t="n">
        <f aca="false">C9</f>
        <v>4.5</v>
      </c>
      <c r="D12" s="20" t="n">
        <f aca="false">B12*C12</f>
        <v>180</v>
      </c>
      <c r="E12" s="6" t="s">
        <v>267</v>
      </c>
      <c r="F12" s="6" t="s">
        <v>260</v>
      </c>
    </row>
    <row r="13" customFormat="false" ht="43.5" hidden="false" customHeight="true" outlineLevel="0" collapsed="false">
      <c r="A13" s="6" t="s">
        <v>268</v>
      </c>
      <c r="B13" s="12" t="n">
        <v>1</v>
      </c>
      <c r="C13" s="18" t="n">
        <v>0</v>
      </c>
      <c r="D13" s="19" t="n">
        <f aca="false">B13*C13</f>
        <v>0</v>
      </c>
      <c r="E13" s="6" t="s">
        <v>269</v>
      </c>
      <c r="F13" s="6" t="s">
        <v>270</v>
      </c>
    </row>
    <row r="14" customFormat="false" ht="43.5" hidden="false" customHeight="true" outlineLevel="0" collapsed="false">
      <c r="A14" s="6" t="s">
        <v>30</v>
      </c>
      <c r="B14" s="12"/>
      <c r="C14" s="18"/>
      <c r="D14" s="21" t="n">
        <f aca="false">D6-D12-D13</f>
        <v>16920</v>
      </c>
      <c r="E14" s="6" t="s">
        <v>271</v>
      </c>
      <c r="F14" s="6" t="s">
        <v>272</v>
      </c>
    </row>
    <row r="15" customFormat="false" ht="43.5" hidden="false" customHeight="true" outlineLevel="0" collapsed="false">
      <c r="A15" s="6" t="s">
        <v>273</v>
      </c>
      <c r="B15" s="12"/>
      <c r="C15" s="18"/>
      <c r="D15" s="22" t="n">
        <f aca="false">D4-D14</f>
        <v>1080</v>
      </c>
      <c r="E15" s="6" t="s">
        <v>274</v>
      </c>
      <c r="F15" s="6" t="s">
        <v>275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25" right="0.25" top="0.5" bottom="0.5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&amp;CREC-2024-017 | Sealed reference workpaper | As of 2025-06-09 12:00 EDT&amp;RPage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2F75B5"/>
    <pageSetUpPr fitToPage="tru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27"/>
    <col collapsed="false" customWidth="true" hidden="false" outlineLevel="0" max="2" min="2" style="0" width="44.99"/>
    <col collapsed="false" customWidth="true" hidden="false" outlineLevel="0" max="4" min="3" style="0" width="33"/>
    <col collapsed="false" customWidth="true" hidden="false" outlineLevel="0" max="5" min="5" style="0" width="25"/>
    <col collapsed="false" customWidth="true" hidden="false" outlineLevel="0" max="6" min="6" style="0" width="45.99"/>
    <col collapsed="false" customWidth="true" hidden="false" outlineLevel="0" max="7" min="7" style="0" width="60"/>
    <col collapsed="false" customWidth="true" hidden="false" outlineLevel="0" max="8" min="8" style="0" width="54.99"/>
  </cols>
  <sheetData>
    <row r="1" customFormat="false" ht="27.75" hidden="false" customHeight="true" outlineLevel="0" collapsed="false">
      <c r="A1" s="1" t="s">
        <v>276</v>
      </c>
      <c r="B1" s="1"/>
      <c r="C1" s="1"/>
      <c r="D1" s="1"/>
      <c r="E1" s="1"/>
      <c r="F1" s="1"/>
      <c r="G1" s="1"/>
      <c r="H1" s="1"/>
    </row>
    <row r="2" customFormat="false" ht="31.5" hidden="false" customHeight="true" outlineLevel="0" collapsed="false">
      <c r="A2" s="2" t="s">
        <v>277</v>
      </c>
      <c r="B2" s="2"/>
      <c r="C2" s="2"/>
      <c r="D2" s="2"/>
      <c r="E2" s="2"/>
      <c r="F2" s="2"/>
      <c r="G2" s="2"/>
      <c r="H2" s="2"/>
    </row>
    <row r="3" customFormat="false" ht="31.5" hidden="false" customHeight="true" outlineLevel="0" collapsed="false">
      <c r="A3" s="10" t="s">
        <v>173</v>
      </c>
      <c r="B3" s="10" t="s">
        <v>278</v>
      </c>
      <c r="C3" s="10" t="s">
        <v>279</v>
      </c>
      <c r="D3" s="10" t="s">
        <v>280</v>
      </c>
      <c r="E3" s="10" t="s">
        <v>281</v>
      </c>
      <c r="F3" s="10" t="s">
        <v>282</v>
      </c>
      <c r="G3" s="10" t="s">
        <v>283</v>
      </c>
      <c r="H3" s="10" t="s">
        <v>284</v>
      </c>
    </row>
    <row r="4" customFormat="false" ht="94.5" hidden="false" customHeight="true" outlineLevel="0" collapsed="false">
      <c r="A4" s="6" t="s">
        <v>285</v>
      </c>
      <c r="B4" s="6" t="s">
        <v>286</v>
      </c>
      <c r="C4" s="6" t="s">
        <v>287</v>
      </c>
      <c r="D4" s="6" t="s">
        <v>288</v>
      </c>
      <c r="E4" s="6" t="s">
        <v>289</v>
      </c>
      <c r="F4" s="6" t="s">
        <v>290</v>
      </c>
      <c r="G4" s="6" t="s">
        <v>291</v>
      </c>
      <c r="H4" s="6" t="s">
        <v>292</v>
      </c>
    </row>
    <row r="5" customFormat="false" ht="94.5" hidden="false" customHeight="true" outlineLevel="0" collapsed="false">
      <c r="A5" s="6" t="s">
        <v>293</v>
      </c>
      <c r="B5" s="6" t="s">
        <v>294</v>
      </c>
      <c r="C5" s="6" t="s">
        <v>295</v>
      </c>
      <c r="D5" s="6" t="s">
        <v>288</v>
      </c>
      <c r="E5" s="6" t="s">
        <v>296</v>
      </c>
      <c r="F5" s="6" t="s">
        <v>297</v>
      </c>
      <c r="G5" s="6" t="s">
        <v>298</v>
      </c>
      <c r="H5" s="6" t="s">
        <v>299</v>
      </c>
    </row>
    <row r="6" customFormat="false" ht="94.5" hidden="false" customHeight="true" outlineLevel="0" collapsed="false">
      <c r="A6" s="6" t="s">
        <v>300</v>
      </c>
      <c r="B6" s="6" t="s">
        <v>301</v>
      </c>
      <c r="C6" s="6" t="s">
        <v>302</v>
      </c>
      <c r="D6" s="6" t="s">
        <v>303</v>
      </c>
      <c r="E6" s="6" t="s">
        <v>304</v>
      </c>
      <c r="F6" s="6" t="s">
        <v>305</v>
      </c>
      <c r="G6" s="6" t="s">
        <v>306</v>
      </c>
      <c r="H6" s="6" t="s">
        <v>307</v>
      </c>
    </row>
    <row r="7" customFormat="false" ht="94.5" hidden="false" customHeight="true" outlineLevel="0" collapsed="false">
      <c r="A7" s="6" t="s">
        <v>308</v>
      </c>
      <c r="B7" s="6" t="s">
        <v>309</v>
      </c>
      <c r="C7" s="6" t="s">
        <v>310</v>
      </c>
      <c r="D7" s="6" t="s">
        <v>311</v>
      </c>
      <c r="E7" s="6" t="s">
        <v>304</v>
      </c>
      <c r="F7" s="6" t="s">
        <v>312</v>
      </c>
      <c r="G7" s="6" t="s">
        <v>313</v>
      </c>
      <c r="H7" s="6" t="s">
        <v>314</v>
      </c>
    </row>
    <row r="8" customFormat="false" ht="94.5" hidden="false" customHeight="true" outlineLevel="0" collapsed="false">
      <c r="A8" s="6" t="s">
        <v>315</v>
      </c>
      <c r="B8" s="6" t="s">
        <v>316</v>
      </c>
      <c r="C8" s="6" t="s">
        <v>317</v>
      </c>
      <c r="D8" s="6" t="s">
        <v>318</v>
      </c>
      <c r="E8" s="6" t="s">
        <v>319</v>
      </c>
      <c r="F8" s="6" t="s">
        <v>320</v>
      </c>
      <c r="G8" s="6" t="s">
        <v>321</v>
      </c>
      <c r="H8" s="6" t="s">
        <v>322</v>
      </c>
    </row>
    <row r="9" customFormat="false" ht="94.5" hidden="false" customHeight="true" outlineLevel="0" collapsed="false">
      <c r="A9" s="6" t="s">
        <v>323</v>
      </c>
      <c r="B9" s="6" t="s">
        <v>324</v>
      </c>
      <c r="C9" s="6" t="s">
        <v>325</v>
      </c>
      <c r="D9" s="6" t="s">
        <v>318</v>
      </c>
      <c r="E9" s="6" t="s">
        <v>319</v>
      </c>
      <c r="F9" s="6" t="s">
        <v>326</v>
      </c>
      <c r="G9" s="6" t="s">
        <v>327</v>
      </c>
      <c r="H9" s="6" t="s">
        <v>328</v>
      </c>
    </row>
    <row r="10" customFormat="false" ht="94.5" hidden="false" customHeight="true" outlineLevel="0" collapsed="false">
      <c r="A10" s="6" t="s">
        <v>329</v>
      </c>
      <c r="B10" s="6" t="s">
        <v>330</v>
      </c>
      <c r="C10" s="6" t="s">
        <v>331</v>
      </c>
      <c r="D10" s="6" t="s">
        <v>332</v>
      </c>
      <c r="E10" s="6" t="s">
        <v>333</v>
      </c>
      <c r="F10" s="6" t="s">
        <v>334</v>
      </c>
      <c r="G10" s="6" t="s">
        <v>335</v>
      </c>
      <c r="H10" s="6" t="s">
        <v>336</v>
      </c>
    </row>
    <row r="11" customFormat="false" ht="94.5" hidden="false" customHeight="true" outlineLevel="0" collapsed="false">
      <c r="A11" s="6" t="s">
        <v>337</v>
      </c>
      <c r="B11" s="6" t="s">
        <v>338</v>
      </c>
      <c r="C11" s="6" t="s">
        <v>339</v>
      </c>
      <c r="D11" s="6" t="s">
        <v>340</v>
      </c>
      <c r="E11" s="6" t="s">
        <v>341</v>
      </c>
      <c r="F11" s="6" t="s">
        <v>342</v>
      </c>
      <c r="G11" s="6" t="s">
        <v>343</v>
      </c>
      <c r="H11" s="6" t="s">
        <v>344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25" right="0.25" top="0.5" bottom="0.5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&amp;CREC-2024-017 | Sealed reference workpaper | As of 2025-06-09 12:00 EDT&amp;RPage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C00000"/>
    <pageSetUpPr fitToPage="true"/>
  </sheetPr>
  <dimension ref="A1:J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61.99"/>
    <col collapsed="false" customWidth="true" hidden="false" outlineLevel="0" max="3" min="3" style="0" width="15"/>
    <col collapsed="false" customWidth="true" hidden="false" outlineLevel="0" max="4" min="4" style="0" width="31.01"/>
    <col collapsed="false" customWidth="true" hidden="false" outlineLevel="0" max="5" min="5" style="0" width="34"/>
    <col collapsed="false" customWidth="true" hidden="false" outlineLevel="0" max="6" min="6" style="0" width="42"/>
    <col collapsed="false" customWidth="true" hidden="false" outlineLevel="0" max="7" min="7" style="0" width="36.99"/>
    <col collapsed="false" customWidth="true" hidden="false" outlineLevel="0" max="8" min="8" style="0" width="48.01"/>
    <col collapsed="false" customWidth="true" hidden="false" outlineLevel="0" max="9" min="9" style="0" width="44.99"/>
    <col collapsed="false" customWidth="true" hidden="false" outlineLevel="0" max="10" min="10" style="0" width="54.99"/>
  </cols>
  <sheetData>
    <row r="1" customFormat="false" ht="27.75" hidden="false" customHeight="true" outlineLevel="0" collapsed="false">
      <c r="A1" s="1" t="s">
        <v>345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31.5" hidden="false" customHeight="true" outlineLevel="0" collapsed="false">
      <c r="A2" s="2" t="s">
        <v>346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31.5" hidden="false" customHeight="true" outlineLevel="0" collapsed="false">
      <c r="A3" s="10" t="s">
        <v>347</v>
      </c>
      <c r="B3" s="10" t="s">
        <v>348</v>
      </c>
      <c r="C3" s="10" t="s">
        <v>349</v>
      </c>
      <c r="D3" s="10" t="s">
        <v>350</v>
      </c>
      <c r="E3" s="10" t="s">
        <v>351</v>
      </c>
      <c r="F3" s="10" t="s">
        <v>352</v>
      </c>
      <c r="G3" s="10" t="s">
        <v>353</v>
      </c>
      <c r="H3" s="10" t="s">
        <v>354</v>
      </c>
      <c r="I3" s="10" t="s">
        <v>355</v>
      </c>
      <c r="J3" s="10" t="s">
        <v>356</v>
      </c>
    </row>
    <row r="4" customFormat="false" ht="105" hidden="false" customHeight="true" outlineLevel="0" collapsed="false">
      <c r="A4" s="6" t="s">
        <v>357</v>
      </c>
      <c r="B4" s="6" t="s">
        <v>358</v>
      </c>
      <c r="C4" s="6" t="s">
        <v>359</v>
      </c>
      <c r="D4" s="6" t="s">
        <v>360</v>
      </c>
      <c r="E4" s="6" t="s">
        <v>361</v>
      </c>
      <c r="F4" s="6" t="s">
        <v>362</v>
      </c>
      <c r="G4" s="6" t="s">
        <v>363</v>
      </c>
      <c r="H4" s="6" t="s">
        <v>364</v>
      </c>
      <c r="I4" s="6" t="s">
        <v>365</v>
      </c>
      <c r="J4" s="6" t="s">
        <v>366</v>
      </c>
    </row>
    <row r="5" customFormat="false" ht="105" hidden="false" customHeight="true" outlineLevel="0" collapsed="false">
      <c r="A5" s="6" t="s">
        <v>367</v>
      </c>
      <c r="B5" s="6" t="s">
        <v>368</v>
      </c>
      <c r="C5" s="6" t="s">
        <v>369</v>
      </c>
      <c r="D5" s="6" t="s">
        <v>360</v>
      </c>
      <c r="E5" s="6" t="s">
        <v>370</v>
      </c>
      <c r="F5" s="6" t="s">
        <v>371</v>
      </c>
      <c r="G5" s="6" t="s">
        <v>372</v>
      </c>
      <c r="H5" s="6" t="s">
        <v>373</v>
      </c>
      <c r="I5" s="6" t="s">
        <v>374</v>
      </c>
      <c r="J5" s="6" t="s">
        <v>375</v>
      </c>
    </row>
    <row r="6" customFormat="false" ht="105" hidden="false" customHeight="true" outlineLevel="0" collapsed="false">
      <c r="A6" s="6" t="s">
        <v>376</v>
      </c>
      <c r="B6" s="6" t="s">
        <v>377</v>
      </c>
      <c r="C6" s="6" t="s">
        <v>369</v>
      </c>
      <c r="D6" s="6" t="s">
        <v>360</v>
      </c>
      <c r="E6" s="6" t="s">
        <v>378</v>
      </c>
      <c r="F6" s="6" t="s">
        <v>379</v>
      </c>
      <c r="G6" s="6" t="s">
        <v>380</v>
      </c>
      <c r="H6" s="6" t="s">
        <v>381</v>
      </c>
      <c r="I6" s="6" t="s">
        <v>382</v>
      </c>
      <c r="J6" s="6" t="s">
        <v>383</v>
      </c>
    </row>
    <row r="7" customFormat="false" ht="105" hidden="false" customHeight="true" outlineLevel="0" collapsed="false">
      <c r="A7" s="6" t="s">
        <v>384</v>
      </c>
      <c r="B7" s="6" t="s">
        <v>385</v>
      </c>
      <c r="C7" s="6" t="s">
        <v>369</v>
      </c>
      <c r="D7" s="6" t="s">
        <v>386</v>
      </c>
      <c r="E7" s="6" t="s">
        <v>387</v>
      </c>
      <c r="F7" s="6" t="s">
        <v>388</v>
      </c>
      <c r="G7" s="6" t="s">
        <v>389</v>
      </c>
      <c r="H7" s="6" t="s">
        <v>390</v>
      </c>
      <c r="I7" s="6" t="s">
        <v>391</v>
      </c>
      <c r="J7" s="6" t="s">
        <v>392</v>
      </c>
    </row>
    <row r="8" customFormat="false" ht="105" hidden="false" customHeight="true" outlineLevel="0" collapsed="false">
      <c r="A8" s="6" t="s">
        <v>393</v>
      </c>
      <c r="B8" s="6" t="s">
        <v>394</v>
      </c>
      <c r="C8" s="6" t="s">
        <v>359</v>
      </c>
      <c r="D8" s="6" t="s">
        <v>395</v>
      </c>
      <c r="E8" s="6" t="s">
        <v>396</v>
      </c>
      <c r="F8" s="6" t="s">
        <v>397</v>
      </c>
      <c r="G8" s="6" t="s">
        <v>398</v>
      </c>
      <c r="H8" s="6" t="s">
        <v>399</v>
      </c>
      <c r="I8" s="6" t="s">
        <v>400</v>
      </c>
      <c r="J8" s="6" t="s">
        <v>401</v>
      </c>
    </row>
    <row r="9" customFormat="false" ht="105" hidden="false" customHeight="true" outlineLevel="0" collapsed="false">
      <c r="A9" s="6" t="s">
        <v>402</v>
      </c>
      <c r="B9" s="6" t="s">
        <v>403</v>
      </c>
      <c r="C9" s="6" t="s">
        <v>359</v>
      </c>
      <c r="D9" s="6" t="s">
        <v>404</v>
      </c>
      <c r="E9" s="6" t="s">
        <v>405</v>
      </c>
      <c r="F9" s="6" t="s">
        <v>406</v>
      </c>
      <c r="G9" s="6" t="s">
        <v>407</v>
      </c>
      <c r="H9" s="6" t="s">
        <v>408</v>
      </c>
      <c r="I9" s="6" t="s">
        <v>409</v>
      </c>
      <c r="J9" s="6" t="s">
        <v>410</v>
      </c>
    </row>
    <row r="10" customFormat="false" ht="105" hidden="false" customHeight="true" outlineLevel="0" collapsed="false">
      <c r="A10" s="6" t="s">
        <v>411</v>
      </c>
      <c r="B10" s="6" t="s">
        <v>412</v>
      </c>
      <c r="C10" s="6" t="s">
        <v>413</v>
      </c>
      <c r="D10" s="6" t="s">
        <v>360</v>
      </c>
      <c r="E10" s="6" t="s">
        <v>414</v>
      </c>
      <c r="F10" s="6" t="s">
        <v>415</v>
      </c>
      <c r="G10" s="6" t="s">
        <v>416</v>
      </c>
      <c r="H10" s="6" t="s">
        <v>417</v>
      </c>
      <c r="I10" s="6" t="s">
        <v>418</v>
      </c>
      <c r="J10" s="6" t="s">
        <v>419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25" right="0.25" top="0.5" bottom="0.5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&amp;CREC-2024-017 | Sealed reference workpaper | As of 2025-06-09 12:00 EDT&amp;RPage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70AD47"/>
    <pageSetUpPr fitToPage="true"/>
  </sheetPr>
  <dimension ref="A1:L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1.99"/>
    <col collapsed="false" customWidth="true" hidden="false" outlineLevel="0" max="2" min="2" style="0" width="15"/>
    <col collapsed="false" customWidth="true" hidden="false" outlineLevel="0" max="3" min="3" style="0" width="11.99"/>
    <col collapsed="false" customWidth="true" hidden="false" outlineLevel="0" max="4" min="4" style="0" width="30.01"/>
    <col collapsed="false" customWidth="true" hidden="false" outlineLevel="0" max="5" min="5" style="0" width="22.01"/>
    <col collapsed="false" customWidth="true" hidden="false" outlineLevel="0" max="6" min="6" style="0" width="17"/>
    <col collapsed="false" customWidth="true" hidden="false" outlineLevel="0" max="7" min="7" style="0" width="18"/>
    <col collapsed="false" customWidth="true" hidden="false" outlineLevel="0" max="8" min="8" style="0" width="22.01"/>
    <col collapsed="false" customWidth="true" hidden="false" outlineLevel="0" max="9" min="9" style="0" width="14.01"/>
    <col collapsed="false" customWidth="true" hidden="false" outlineLevel="0" max="10" min="10" style="0" width="34"/>
    <col collapsed="false" customWidth="true" hidden="false" outlineLevel="0" max="11" min="11" style="0" width="42"/>
    <col collapsed="false" customWidth="true" hidden="false" outlineLevel="0" max="12" min="12" style="0" width="75"/>
  </cols>
  <sheetData>
    <row r="1" customFormat="false" ht="27.75" hidden="false" customHeight="true" outlineLevel="0" collapsed="false">
      <c r="A1" s="1" t="s">
        <v>420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31.5" hidden="false" customHeight="true" outlineLevel="0" collapsed="false">
      <c r="A2" s="2" t="s">
        <v>421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31.5" hidden="false" customHeight="true" outlineLevel="0" collapsed="false">
      <c r="A3" s="10" t="s">
        <v>68</v>
      </c>
      <c r="B3" s="10" t="s">
        <v>70</v>
      </c>
      <c r="C3" s="10" t="s">
        <v>422</v>
      </c>
      <c r="D3" s="10" t="s">
        <v>423</v>
      </c>
      <c r="E3" s="10" t="s">
        <v>424</v>
      </c>
      <c r="F3" s="10" t="s">
        <v>73</v>
      </c>
      <c r="G3" s="10" t="s">
        <v>425</v>
      </c>
      <c r="H3" s="10" t="s">
        <v>426</v>
      </c>
      <c r="I3" s="10" t="s">
        <v>427</v>
      </c>
      <c r="J3" s="10" t="s">
        <v>428</v>
      </c>
      <c r="K3" s="10" t="s">
        <v>429</v>
      </c>
      <c r="L3" s="10" t="s">
        <v>88</v>
      </c>
    </row>
    <row r="4" customFormat="false" ht="75" hidden="false" customHeight="true" outlineLevel="0" collapsed="false">
      <c r="A4" s="6" t="s">
        <v>89</v>
      </c>
      <c r="B4" s="6" t="s">
        <v>91</v>
      </c>
      <c r="C4" s="6" t="s">
        <v>92</v>
      </c>
      <c r="D4" s="6" t="s">
        <v>93</v>
      </c>
      <c r="E4" s="6" t="s">
        <v>430</v>
      </c>
      <c r="F4" s="6" t="s">
        <v>94</v>
      </c>
      <c r="G4" s="6" t="s">
        <v>431</v>
      </c>
      <c r="H4" s="6" t="s">
        <v>432</v>
      </c>
      <c r="I4" s="6" t="s">
        <v>433</v>
      </c>
      <c r="J4" s="6" t="s">
        <v>434</v>
      </c>
      <c r="K4" s="6" t="s">
        <v>435</v>
      </c>
      <c r="L4" s="6" t="s">
        <v>436</v>
      </c>
    </row>
    <row r="5" customFormat="false" ht="75" hidden="false" customHeight="true" outlineLevel="0" collapsed="false">
      <c r="A5" s="6" t="s">
        <v>105</v>
      </c>
      <c r="B5" s="6" t="s">
        <v>106</v>
      </c>
      <c r="C5" s="6" t="s">
        <v>107</v>
      </c>
      <c r="D5" s="6" t="s">
        <v>108</v>
      </c>
      <c r="E5" s="6" t="s">
        <v>437</v>
      </c>
      <c r="F5" s="6" t="s">
        <v>109</v>
      </c>
      <c r="G5" s="6" t="s">
        <v>438</v>
      </c>
      <c r="H5" s="6" t="s">
        <v>432</v>
      </c>
      <c r="I5" s="6" t="s">
        <v>433</v>
      </c>
      <c r="J5" s="6" t="s">
        <v>439</v>
      </c>
      <c r="K5" s="6" t="s">
        <v>440</v>
      </c>
      <c r="L5" s="6" t="s">
        <v>441</v>
      </c>
    </row>
    <row r="6" customFormat="false" ht="75" hidden="false" customHeight="true" outlineLevel="0" collapsed="false">
      <c r="A6" s="6" t="s">
        <v>118</v>
      </c>
      <c r="B6" s="6" t="s">
        <v>91</v>
      </c>
      <c r="C6" s="6" t="s">
        <v>92</v>
      </c>
      <c r="D6" s="6" t="s">
        <v>93</v>
      </c>
      <c r="E6" s="6" t="s">
        <v>430</v>
      </c>
      <c r="F6" s="6" t="s">
        <v>119</v>
      </c>
      <c r="G6" s="6" t="s">
        <v>431</v>
      </c>
      <c r="H6" s="6" t="s">
        <v>432</v>
      </c>
      <c r="I6" s="6" t="s">
        <v>433</v>
      </c>
      <c r="J6" s="6" t="s">
        <v>442</v>
      </c>
      <c r="K6" s="6" t="s">
        <v>443</v>
      </c>
      <c r="L6" s="6" t="s">
        <v>444</v>
      </c>
    </row>
    <row r="7" customFormat="false" ht="75" hidden="false" customHeight="true" outlineLevel="0" collapsed="false">
      <c r="A7" s="6" t="s">
        <v>128</v>
      </c>
      <c r="B7" s="6" t="s">
        <v>129</v>
      </c>
      <c r="C7" s="6" t="s">
        <v>130</v>
      </c>
      <c r="D7" s="6" t="s">
        <v>131</v>
      </c>
      <c r="E7" s="6" t="s">
        <v>445</v>
      </c>
      <c r="F7" s="6" t="s">
        <v>132</v>
      </c>
      <c r="G7" s="6" t="s">
        <v>446</v>
      </c>
      <c r="H7" s="6" t="s">
        <v>432</v>
      </c>
      <c r="I7" s="6" t="s">
        <v>433</v>
      </c>
      <c r="J7" s="6" t="s">
        <v>434</v>
      </c>
      <c r="K7" s="6" t="s">
        <v>447</v>
      </c>
      <c r="L7" s="6" t="s">
        <v>448</v>
      </c>
    </row>
    <row r="8" customFormat="false" ht="75" hidden="false" customHeight="true" outlineLevel="0" collapsed="false">
      <c r="A8" s="6" t="s">
        <v>142</v>
      </c>
      <c r="B8" s="6" t="s">
        <v>91</v>
      </c>
      <c r="C8" s="6" t="s">
        <v>92</v>
      </c>
      <c r="D8" s="6" t="s">
        <v>93</v>
      </c>
      <c r="E8" s="6" t="s">
        <v>430</v>
      </c>
      <c r="F8" s="6" t="s">
        <v>109</v>
      </c>
      <c r="G8" s="6" t="s">
        <v>431</v>
      </c>
      <c r="H8" s="6" t="s">
        <v>432</v>
      </c>
      <c r="I8" s="6" t="s">
        <v>433</v>
      </c>
      <c r="J8" s="6" t="s">
        <v>434</v>
      </c>
      <c r="K8" s="6" t="s">
        <v>449</v>
      </c>
      <c r="L8" s="6" t="s">
        <v>450</v>
      </c>
    </row>
    <row r="9" customFormat="false" ht="75" hidden="false" customHeight="true" outlineLevel="0" collapsed="false">
      <c r="A9" s="6" t="s">
        <v>152</v>
      </c>
      <c r="B9" s="6" t="s">
        <v>91</v>
      </c>
      <c r="C9" s="6" t="s">
        <v>92</v>
      </c>
      <c r="D9" s="6" t="s">
        <v>93</v>
      </c>
      <c r="E9" s="6" t="s">
        <v>430</v>
      </c>
      <c r="F9" s="6" t="s">
        <v>94</v>
      </c>
      <c r="G9" s="6" t="s">
        <v>431</v>
      </c>
      <c r="H9" s="6" t="s">
        <v>432</v>
      </c>
      <c r="I9" s="6" t="s">
        <v>433</v>
      </c>
      <c r="J9" s="6" t="s">
        <v>434</v>
      </c>
      <c r="K9" s="6" t="s">
        <v>451</v>
      </c>
      <c r="L9" s="6" t="s">
        <v>452</v>
      </c>
    </row>
    <row r="10" customFormat="false" ht="75" hidden="false" customHeight="true" outlineLevel="0" collapsed="false">
      <c r="A10" s="6" t="s">
        <v>453</v>
      </c>
      <c r="B10" s="6" t="s">
        <v>91</v>
      </c>
      <c r="C10" s="6" t="s">
        <v>92</v>
      </c>
      <c r="D10" s="6" t="s">
        <v>93</v>
      </c>
      <c r="E10" s="6" t="s">
        <v>430</v>
      </c>
      <c r="F10" s="6" t="s">
        <v>132</v>
      </c>
      <c r="G10" s="6" t="s">
        <v>431</v>
      </c>
      <c r="H10" s="6" t="s">
        <v>432</v>
      </c>
      <c r="I10" s="6" t="s">
        <v>433</v>
      </c>
      <c r="J10" s="6" t="s">
        <v>434</v>
      </c>
      <c r="K10" s="6" t="s">
        <v>454</v>
      </c>
      <c r="L10" s="6" t="s">
        <v>455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25" right="0.25" top="0.5" bottom="0.5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&amp;CREC-2024-017 | Sealed reference workpaper | As of 2025-06-09 12:00 EDT&amp;RPage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008C95"/>
    <pageSetUpPr fitToPage="true"/>
  </sheetPr>
  <dimension ref="A1:L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3" min="2" style="0" width="19.99"/>
    <col collapsed="false" customWidth="true" hidden="false" outlineLevel="0" max="4" min="4" style="0" width="15"/>
    <col collapsed="false" customWidth="true" hidden="false" outlineLevel="0" max="5" min="5" style="0" width="18"/>
    <col collapsed="false" customWidth="true" hidden="false" outlineLevel="0" max="7" min="6" style="0" width="13.01"/>
    <col collapsed="false" customWidth="true" hidden="false" outlineLevel="0" max="8" min="8" style="0" width="10.99"/>
    <col collapsed="false" customWidth="true" hidden="false" outlineLevel="0" max="9" min="9" style="0" width="19"/>
    <col collapsed="false" customWidth="true" hidden="false" outlineLevel="0" max="10" min="10" style="0" width="19.99"/>
    <col collapsed="false" customWidth="true" hidden="false" outlineLevel="0" max="11" min="11" style="0" width="35"/>
    <col collapsed="false" customWidth="true" hidden="false" outlineLevel="0" max="12" min="12" style="0" width="78"/>
  </cols>
  <sheetData>
    <row r="1" customFormat="false" ht="27.75" hidden="false" customHeight="true" outlineLevel="0" collapsed="false">
      <c r="A1" s="1" t="s">
        <v>456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31.5" hidden="false" customHeight="true" outlineLevel="0" collapsed="false">
      <c r="A2" s="2" t="s">
        <v>457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31.5" hidden="false" customHeight="true" outlineLevel="0" collapsed="false">
      <c r="A3" s="10" t="s">
        <v>458</v>
      </c>
      <c r="B3" s="10" t="s">
        <v>459</v>
      </c>
      <c r="C3" s="10" t="s">
        <v>460</v>
      </c>
      <c r="D3" s="10" t="s">
        <v>70</v>
      </c>
      <c r="E3" s="10" t="s">
        <v>73</v>
      </c>
      <c r="F3" s="10" t="s">
        <v>74</v>
      </c>
      <c r="G3" s="10" t="s">
        <v>75</v>
      </c>
      <c r="H3" s="10" t="s">
        <v>164</v>
      </c>
      <c r="I3" s="10" t="s">
        <v>461</v>
      </c>
      <c r="J3" s="10" t="s">
        <v>462</v>
      </c>
      <c r="K3" s="10" t="s">
        <v>463</v>
      </c>
      <c r="L3" s="10" t="s">
        <v>464</v>
      </c>
    </row>
    <row r="4" customFormat="false" ht="114.75" hidden="false" customHeight="true" outlineLevel="0" collapsed="false">
      <c r="A4" s="6" t="s">
        <v>465</v>
      </c>
      <c r="B4" s="6" t="s">
        <v>466</v>
      </c>
      <c r="C4" s="6" t="s">
        <v>467</v>
      </c>
      <c r="D4" s="6" t="s">
        <v>91</v>
      </c>
      <c r="E4" s="6" t="s">
        <v>132</v>
      </c>
      <c r="F4" s="11" t="n">
        <v>4101</v>
      </c>
      <c r="G4" s="11" t="n">
        <v>4140</v>
      </c>
      <c r="H4" s="12" t="n">
        <f aca="false">G4-F4+1</f>
        <v>40</v>
      </c>
      <c r="I4" s="6" t="s">
        <v>468</v>
      </c>
      <c r="J4" s="6" t="s">
        <v>469</v>
      </c>
      <c r="K4" s="13" t="s">
        <v>470</v>
      </c>
      <c r="L4" s="6" t="s">
        <v>471</v>
      </c>
    </row>
    <row r="6" customFormat="false" ht="21.75" hidden="false" customHeight="true" outlineLevel="0" collapsed="false">
      <c r="A6" s="3" t="s">
        <v>472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customFormat="false" ht="90" hidden="false" customHeight="true" outlineLevel="0" collapsed="false">
      <c r="A7" s="4" t="s">
        <v>473</v>
      </c>
      <c r="B7" s="6" t="s">
        <v>474</v>
      </c>
      <c r="C7" s="6"/>
      <c r="D7" s="6"/>
      <c r="E7" s="6" t="s">
        <v>475</v>
      </c>
      <c r="F7" s="6"/>
      <c r="G7" s="6"/>
      <c r="H7" s="6"/>
      <c r="I7" s="6" t="s">
        <v>476</v>
      </c>
      <c r="J7" s="6"/>
      <c r="K7" s="6"/>
      <c r="L7" s="6"/>
    </row>
    <row r="8" customFormat="false" ht="90" hidden="false" customHeight="true" outlineLevel="0" collapsed="false">
      <c r="A8" s="4" t="s">
        <v>477</v>
      </c>
      <c r="B8" s="6" t="s">
        <v>478</v>
      </c>
      <c r="C8" s="6"/>
      <c r="D8" s="6"/>
      <c r="E8" s="6" t="s">
        <v>479</v>
      </c>
      <c r="F8" s="6"/>
      <c r="G8" s="6"/>
      <c r="H8" s="6"/>
      <c r="I8" s="6" t="s">
        <v>480</v>
      </c>
      <c r="J8" s="6"/>
      <c r="K8" s="6"/>
      <c r="L8" s="6"/>
    </row>
  </sheetData>
  <mergeCells count="9">
    <mergeCell ref="A1:L1"/>
    <mergeCell ref="A2:L2"/>
    <mergeCell ref="A6:L6"/>
    <mergeCell ref="B7:D7"/>
    <mergeCell ref="E7:H7"/>
    <mergeCell ref="I7:L7"/>
    <mergeCell ref="B8:D8"/>
    <mergeCell ref="E8:H8"/>
    <mergeCell ref="I8:L8"/>
  </mergeCells>
  <printOptions headings="false" gridLines="false" gridLinesSet="true" horizontalCentered="false" verticalCentered="false"/>
  <pageMargins left="0.25" right="0.25" top="0.5" bottom="0.5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&amp;CREC-2024-017 | Sealed reference workpaper | As of 2025-06-09 12:00 EDT&amp;RPage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4B183"/>
    <pageSetUpPr fitToPage="true"/>
  </sheetPr>
  <dimension ref="A1:J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23.01"/>
    <col collapsed="false" customWidth="true" hidden="false" outlineLevel="0" max="2" min="2" style="0" width="18"/>
    <col collapsed="false" customWidth="true" hidden="false" outlineLevel="0" max="3" min="3" style="0" width="20.99"/>
    <col collapsed="false" customWidth="true" hidden="false" outlineLevel="0" max="4" min="4" style="0" width="11.99"/>
    <col collapsed="false" customWidth="true" hidden="false" outlineLevel="0" max="5" min="5" style="0" width="15"/>
    <col collapsed="false" customWidth="true" hidden="false" outlineLevel="0" max="6" min="6" style="0" width="11.99"/>
    <col collapsed="false" customWidth="true" hidden="false" outlineLevel="0" max="7" min="7" style="0" width="32"/>
    <col collapsed="false" customWidth="true" hidden="false" outlineLevel="0" max="8" min="8" style="0" width="22.01"/>
    <col collapsed="false" customWidth="true" hidden="false" outlineLevel="0" max="9" min="9" style="0" width="47.01"/>
    <col collapsed="false" customWidth="true" hidden="false" outlineLevel="0" max="10" min="10" style="0" width="65.01"/>
  </cols>
  <sheetData>
    <row r="1" customFormat="false" ht="27.75" hidden="false" customHeight="true" outlineLevel="0" collapsed="false">
      <c r="A1" s="1" t="s">
        <v>481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31.5" hidden="false" customHeight="true" outlineLevel="0" collapsed="false">
      <c r="A2" s="2" t="s">
        <v>482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31.5" hidden="false" customHeight="true" outlineLevel="0" collapsed="false">
      <c r="A3" s="10" t="s">
        <v>483</v>
      </c>
      <c r="B3" s="10" t="s">
        <v>484</v>
      </c>
      <c r="C3" s="10" t="s">
        <v>485</v>
      </c>
      <c r="D3" s="10" t="s">
        <v>68</v>
      </c>
      <c r="E3" s="10" t="s">
        <v>70</v>
      </c>
      <c r="F3" s="10" t="s">
        <v>422</v>
      </c>
      <c r="G3" s="10" t="s">
        <v>423</v>
      </c>
      <c r="H3" s="10" t="s">
        <v>168</v>
      </c>
      <c r="I3" s="10" t="s">
        <v>486</v>
      </c>
      <c r="J3" s="10" t="s">
        <v>88</v>
      </c>
    </row>
    <row r="4" customFormat="false" ht="54.75" hidden="false" customHeight="true" outlineLevel="0" collapsed="false">
      <c r="A4" s="6" t="n">
        <v>1</v>
      </c>
      <c r="B4" s="6" t="s">
        <v>487</v>
      </c>
      <c r="C4" s="6" t="s">
        <v>488</v>
      </c>
      <c r="D4" s="6" t="s">
        <v>128</v>
      </c>
      <c r="E4" s="6" t="s">
        <v>129</v>
      </c>
      <c r="F4" s="6" t="s">
        <v>130</v>
      </c>
      <c r="G4" s="6" t="s">
        <v>131</v>
      </c>
      <c r="H4" s="6" t="s">
        <v>489</v>
      </c>
      <c r="I4" s="6" t="s">
        <v>490</v>
      </c>
      <c r="J4" s="6" t="s">
        <v>491</v>
      </c>
    </row>
    <row r="5" customFormat="false" ht="54.75" hidden="false" customHeight="true" outlineLevel="0" collapsed="false">
      <c r="A5" s="6" t="n">
        <v>2</v>
      </c>
      <c r="B5" s="6" t="s">
        <v>492</v>
      </c>
      <c r="C5" s="6" t="s">
        <v>488</v>
      </c>
      <c r="D5" s="6" t="s">
        <v>128</v>
      </c>
      <c r="E5" s="6" t="s">
        <v>129</v>
      </c>
      <c r="F5" s="6" t="s">
        <v>130</v>
      </c>
      <c r="G5" s="6" t="s">
        <v>131</v>
      </c>
      <c r="H5" s="6" t="s">
        <v>493</v>
      </c>
      <c r="I5" s="6" t="s">
        <v>494</v>
      </c>
      <c r="J5" s="6" t="s">
        <v>495</v>
      </c>
    </row>
    <row r="6" customFormat="false" ht="54.75" hidden="false" customHeight="true" outlineLevel="0" collapsed="false">
      <c r="A6" s="6" t="n">
        <v>3</v>
      </c>
      <c r="B6" s="6" t="s">
        <v>496</v>
      </c>
      <c r="C6" s="6" t="s">
        <v>488</v>
      </c>
      <c r="D6" s="6" t="s">
        <v>128</v>
      </c>
      <c r="E6" s="6" t="s">
        <v>129</v>
      </c>
      <c r="F6" s="6" t="s">
        <v>130</v>
      </c>
      <c r="G6" s="6" t="s">
        <v>131</v>
      </c>
      <c r="H6" s="13" t="s">
        <v>497</v>
      </c>
      <c r="I6" s="6" t="s">
        <v>498</v>
      </c>
      <c r="J6" s="6" t="s">
        <v>499</v>
      </c>
    </row>
    <row r="8" customFormat="false" ht="21.75" hidden="false" customHeight="true" outlineLevel="0" collapsed="false">
      <c r="A8" s="3" t="s">
        <v>500</v>
      </c>
      <c r="B8" s="3"/>
      <c r="C8" s="3"/>
      <c r="D8" s="3"/>
      <c r="E8" s="3"/>
      <c r="F8" s="3"/>
      <c r="G8" s="3"/>
      <c r="H8" s="3"/>
      <c r="I8" s="3"/>
      <c r="J8" s="3"/>
    </row>
    <row r="9" customFormat="false" ht="63.75" hidden="false" customHeight="true" outlineLevel="0" collapsed="false">
      <c r="A9" s="4" t="s">
        <v>501</v>
      </c>
      <c r="B9" s="6" t="s">
        <v>502</v>
      </c>
      <c r="C9" s="6"/>
      <c r="D9" s="6"/>
      <c r="E9" s="6"/>
      <c r="F9" s="6"/>
      <c r="G9" s="6" t="s">
        <v>503</v>
      </c>
      <c r="H9" s="6"/>
      <c r="I9" s="6"/>
      <c r="J9" s="6"/>
    </row>
    <row r="10" customFormat="false" ht="63.75" hidden="false" customHeight="true" outlineLevel="0" collapsed="false">
      <c r="A10" s="4" t="s">
        <v>504</v>
      </c>
      <c r="B10" s="6" t="s">
        <v>505</v>
      </c>
      <c r="C10" s="6"/>
      <c r="D10" s="6"/>
      <c r="E10" s="6"/>
      <c r="F10" s="6"/>
      <c r="G10" s="6" t="s">
        <v>506</v>
      </c>
      <c r="H10" s="6"/>
      <c r="I10" s="6"/>
      <c r="J10" s="6"/>
    </row>
    <row r="11" customFormat="false" ht="63.75" hidden="false" customHeight="true" outlineLevel="0" collapsed="false">
      <c r="A11" s="4" t="s">
        <v>507</v>
      </c>
      <c r="B11" s="6" t="s">
        <v>508</v>
      </c>
      <c r="C11" s="6"/>
      <c r="D11" s="6"/>
      <c r="E11" s="6"/>
      <c r="F11" s="6"/>
      <c r="G11" s="6" t="s">
        <v>509</v>
      </c>
      <c r="H11" s="6"/>
      <c r="I11" s="6"/>
      <c r="J11" s="6"/>
    </row>
    <row r="12" customFormat="false" ht="63.75" hidden="false" customHeight="true" outlineLevel="0" collapsed="false">
      <c r="A12" s="4" t="s">
        <v>510</v>
      </c>
      <c r="B12" s="6" t="s">
        <v>511</v>
      </c>
      <c r="C12" s="6"/>
      <c r="D12" s="6"/>
      <c r="E12" s="6"/>
      <c r="F12" s="6"/>
      <c r="G12" s="6" t="s">
        <v>512</v>
      </c>
      <c r="H12" s="6"/>
      <c r="I12" s="6"/>
      <c r="J12" s="6"/>
    </row>
    <row r="13" customFormat="false" ht="63.75" hidden="false" customHeight="true" outlineLevel="0" collapsed="false">
      <c r="A13" s="4" t="s">
        <v>513</v>
      </c>
      <c r="B13" s="6" t="s">
        <v>514</v>
      </c>
      <c r="C13" s="6"/>
      <c r="D13" s="6"/>
      <c r="E13" s="6"/>
      <c r="F13" s="6"/>
      <c r="G13" s="6" t="s">
        <v>515</v>
      </c>
      <c r="H13" s="6"/>
      <c r="I13" s="6"/>
      <c r="J13" s="6"/>
    </row>
  </sheetData>
  <mergeCells count="13">
    <mergeCell ref="A1:J1"/>
    <mergeCell ref="A2:J2"/>
    <mergeCell ref="A8:J8"/>
    <mergeCell ref="B9:F9"/>
    <mergeCell ref="G9:J9"/>
    <mergeCell ref="B10:F10"/>
    <mergeCell ref="G10:J10"/>
    <mergeCell ref="B11:F11"/>
    <mergeCell ref="G11:J11"/>
    <mergeCell ref="B12:F12"/>
    <mergeCell ref="G12:J12"/>
    <mergeCell ref="B13:F13"/>
    <mergeCell ref="G13:J13"/>
  </mergeCells>
  <printOptions headings="false" gridLines="false" gridLinesSet="true" horizontalCentered="false" verticalCentered="false"/>
  <pageMargins left="0.25" right="0.25" top="0.5" bottom="0.5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&amp;CREC-2024-017 | Sealed reference workpaper | As of 2025-06-09 12:00 EDT&amp;RPage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70AD47"/>
    <pageSetUpPr fitToPage="tru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36.99"/>
    <col collapsed="false" customWidth="true" hidden="false" outlineLevel="0" max="2" min="2" style="0" width="14.01"/>
    <col collapsed="false" customWidth="true" hidden="false" outlineLevel="0" max="3" min="3" style="0" width="25"/>
    <col collapsed="false" customWidth="true" hidden="false" outlineLevel="0" max="4" min="4" style="0" width="56.01"/>
    <col collapsed="false" customWidth="true" hidden="false" outlineLevel="0" max="5" min="5" style="0" width="45.99"/>
    <col collapsed="false" customWidth="true" hidden="false" outlineLevel="0" max="6" min="6" style="0" width="75"/>
  </cols>
  <sheetData>
    <row r="1" customFormat="false" ht="27.75" hidden="false" customHeight="true" outlineLevel="0" collapsed="false">
      <c r="A1" s="1" t="s">
        <v>516</v>
      </c>
      <c r="B1" s="1"/>
      <c r="C1" s="1"/>
      <c r="D1" s="1"/>
      <c r="E1" s="1"/>
      <c r="F1" s="1"/>
    </row>
    <row r="2" customFormat="false" ht="31.5" hidden="false" customHeight="true" outlineLevel="0" collapsed="false">
      <c r="A2" s="2" t="s">
        <v>517</v>
      </c>
      <c r="B2" s="2"/>
      <c r="C2" s="2"/>
      <c r="D2" s="2"/>
      <c r="E2" s="2"/>
      <c r="F2" s="2"/>
    </row>
    <row r="3" customFormat="false" ht="31.5" hidden="false" customHeight="true" outlineLevel="0" collapsed="false">
      <c r="A3" s="10" t="s">
        <v>518</v>
      </c>
      <c r="B3" s="10" t="s">
        <v>164</v>
      </c>
      <c r="C3" s="10" t="s">
        <v>519</v>
      </c>
      <c r="D3" s="10" t="s">
        <v>520</v>
      </c>
      <c r="E3" s="10" t="s">
        <v>166</v>
      </c>
      <c r="F3" s="10" t="s">
        <v>169</v>
      </c>
    </row>
    <row r="4" customFormat="false" ht="57.75" hidden="false" customHeight="true" outlineLevel="0" collapsed="false">
      <c r="A4" s="6" t="s">
        <v>521</v>
      </c>
      <c r="B4" s="12" t="n">
        <v>1000</v>
      </c>
      <c r="C4" s="6" t="s">
        <v>522</v>
      </c>
      <c r="D4" s="6" t="s">
        <v>523</v>
      </c>
      <c r="E4" s="6" t="s">
        <v>524</v>
      </c>
      <c r="F4" s="6" t="s">
        <v>525</v>
      </c>
    </row>
    <row r="5" customFormat="false" ht="57.75" hidden="false" customHeight="true" outlineLevel="0" collapsed="false">
      <c r="A5" s="6" t="s">
        <v>526</v>
      </c>
      <c r="B5" s="12" t="n">
        <v>0</v>
      </c>
      <c r="C5" s="6" t="s">
        <v>527</v>
      </c>
      <c r="D5" s="6" t="s">
        <v>528</v>
      </c>
      <c r="E5" s="6" t="s">
        <v>529</v>
      </c>
      <c r="F5" s="6" t="s">
        <v>530</v>
      </c>
    </row>
    <row r="6" customFormat="false" ht="57.75" hidden="false" customHeight="true" outlineLevel="0" collapsed="false">
      <c r="A6" s="6" t="s">
        <v>531</v>
      </c>
      <c r="B6" s="7" t="n">
        <f aca="false">'Quantity Reconciliation'!B11</f>
        <v>950</v>
      </c>
      <c r="C6" s="6" t="s">
        <v>532</v>
      </c>
      <c r="D6" s="6" t="s">
        <v>533</v>
      </c>
      <c r="E6" s="6" t="s">
        <v>534</v>
      </c>
      <c r="F6" s="6" t="s">
        <v>535</v>
      </c>
    </row>
    <row r="7" customFormat="false" ht="57.75" hidden="false" customHeight="true" outlineLevel="0" collapsed="false">
      <c r="A7" s="6" t="s">
        <v>536</v>
      </c>
      <c r="B7" s="7" t="n">
        <f aca="false">'Quantity Reconciliation'!B14</f>
        <v>40</v>
      </c>
      <c r="C7" s="6" t="s">
        <v>532</v>
      </c>
      <c r="D7" s="6" t="s">
        <v>537</v>
      </c>
      <c r="E7" s="6" t="s">
        <v>538</v>
      </c>
      <c r="F7" s="6" t="s">
        <v>226</v>
      </c>
    </row>
    <row r="8" customFormat="false" ht="57.75" hidden="false" customHeight="true" outlineLevel="0" collapsed="false">
      <c r="A8" s="6" t="s">
        <v>539</v>
      </c>
      <c r="B8" s="12" t="n">
        <v>500</v>
      </c>
      <c r="C8" s="6" t="s">
        <v>540</v>
      </c>
      <c r="D8" s="6" t="s">
        <v>541</v>
      </c>
      <c r="E8" s="6" t="s">
        <v>542</v>
      </c>
      <c r="F8" s="6" t="s">
        <v>543</v>
      </c>
    </row>
    <row r="9" customFormat="false" ht="57.75" hidden="false" customHeight="true" outlineLevel="0" collapsed="false">
      <c r="A9" s="6" t="s">
        <v>544</v>
      </c>
      <c r="B9" s="7" t="n">
        <f aca="false">B4-B6-B7</f>
        <v>10</v>
      </c>
      <c r="C9" s="6" t="s">
        <v>545</v>
      </c>
      <c r="D9" s="6" t="s">
        <v>546</v>
      </c>
      <c r="E9" s="6" t="s">
        <v>547</v>
      </c>
      <c r="F9" s="6" t="s">
        <v>232</v>
      </c>
    </row>
    <row r="10" customFormat="false" ht="57.75" hidden="false" customHeight="true" outlineLevel="0" collapsed="false">
      <c r="A10" s="6" t="s">
        <v>548</v>
      </c>
      <c r="B10" s="16" t="n">
        <f aca="false">B6+B7+B9</f>
        <v>1000</v>
      </c>
      <c r="C10" s="6"/>
      <c r="D10" s="6" t="s">
        <v>549</v>
      </c>
      <c r="E10" s="6" t="s">
        <v>550</v>
      </c>
      <c r="F10" s="6" t="s">
        <v>551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25" right="0.25" top="0.5" bottom="0.5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&amp;CREC-2024-017 | Sealed reference workpaper | As of 2025-06-09 12:00 EDT&amp;RPage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17365D"/>
    <pageSetUpPr fitToPage="tru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37.99"/>
    <col collapsed="false" customWidth="true" hidden="false" outlineLevel="0" max="2" min="2" style="0" width="32"/>
    <col collapsed="false" customWidth="true" hidden="false" outlineLevel="0" max="3" min="3" style="0" width="47.01"/>
    <col collapsed="false" customWidth="true" hidden="false" outlineLevel="0" max="4" min="4" style="0" width="35"/>
    <col collapsed="false" customWidth="true" hidden="false" outlineLevel="0" max="5" min="5" style="0" width="24"/>
    <col collapsed="false" customWidth="true" hidden="false" outlineLevel="0" max="6" min="6" style="0" width="61.99"/>
    <col collapsed="false" customWidth="true" hidden="false" outlineLevel="0" max="7" min="7" style="0" width="75"/>
  </cols>
  <sheetData>
    <row r="1" customFormat="false" ht="27.75" hidden="false" customHeight="true" outlineLevel="0" collapsed="false">
      <c r="A1" s="1" t="s">
        <v>552</v>
      </c>
      <c r="B1" s="1"/>
      <c r="C1" s="1"/>
      <c r="D1" s="1"/>
      <c r="E1" s="1"/>
      <c r="F1" s="1"/>
      <c r="G1" s="1"/>
    </row>
    <row r="2" customFormat="false" ht="31.5" hidden="false" customHeight="true" outlineLevel="0" collapsed="false">
      <c r="A2" s="2" t="s">
        <v>553</v>
      </c>
      <c r="B2" s="2"/>
      <c r="C2" s="2"/>
      <c r="D2" s="2"/>
      <c r="E2" s="2"/>
      <c r="F2" s="2"/>
      <c r="G2" s="2"/>
    </row>
    <row r="3" customFormat="false" ht="31.5" hidden="false" customHeight="true" outlineLevel="0" collapsed="false">
      <c r="A3" s="10" t="s">
        <v>554</v>
      </c>
      <c r="B3" s="10" t="s">
        <v>167</v>
      </c>
      <c r="C3" s="10" t="s">
        <v>555</v>
      </c>
      <c r="D3" s="10" t="s">
        <v>556</v>
      </c>
      <c r="E3" s="10" t="s">
        <v>557</v>
      </c>
      <c r="F3" s="10" t="s">
        <v>558</v>
      </c>
      <c r="G3" s="10" t="s">
        <v>88</v>
      </c>
    </row>
    <row r="4" customFormat="false" ht="90" hidden="false" customHeight="true" outlineLevel="0" collapsed="false">
      <c r="A4" s="6" t="s">
        <v>559</v>
      </c>
      <c r="B4" s="6" t="s">
        <v>560</v>
      </c>
      <c r="C4" s="6" t="s">
        <v>561</v>
      </c>
      <c r="D4" s="6" t="s">
        <v>56</v>
      </c>
      <c r="E4" s="6" t="s">
        <v>562</v>
      </c>
      <c r="F4" s="6" t="s">
        <v>563</v>
      </c>
      <c r="G4" s="6" t="s">
        <v>564</v>
      </c>
    </row>
    <row r="5" customFormat="false" ht="90" hidden="false" customHeight="true" outlineLevel="0" collapsed="false">
      <c r="A5" s="6" t="s">
        <v>565</v>
      </c>
      <c r="B5" s="6" t="s">
        <v>230</v>
      </c>
      <c r="C5" s="6" t="s">
        <v>566</v>
      </c>
      <c r="D5" s="6" t="s">
        <v>60</v>
      </c>
      <c r="E5" s="6" t="s">
        <v>567</v>
      </c>
      <c r="F5" s="6" t="s">
        <v>568</v>
      </c>
      <c r="G5" s="6" t="s">
        <v>569</v>
      </c>
    </row>
    <row r="6" customFormat="false" ht="90" hidden="false" customHeight="true" outlineLevel="0" collapsed="false">
      <c r="A6" s="6" t="s">
        <v>570</v>
      </c>
      <c r="B6" s="6" t="s">
        <v>571</v>
      </c>
      <c r="C6" s="6" t="s">
        <v>572</v>
      </c>
      <c r="D6" s="6" t="s">
        <v>573</v>
      </c>
      <c r="E6" s="6" t="s">
        <v>574</v>
      </c>
      <c r="F6" s="6" t="s">
        <v>575</v>
      </c>
      <c r="G6" s="6" t="s">
        <v>576</v>
      </c>
    </row>
    <row r="7" customFormat="false" ht="90" hidden="false" customHeight="true" outlineLevel="0" collapsed="false">
      <c r="A7" s="6" t="s">
        <v>577</v>
      </c>
      <c r="B7" s="6" t="s">
        <v>578</v>
      </c>
      <c r="C7" s="6" t="s">
        <v>579</v>
      </c>
      <c r="D7" s="6" t="s">
        <v>580</v>
      </c>
      <c r="E7" s="6" t="s">
        <v>574</v>
      </c>
      <c r="F7" s="6" t="s">
        <v>581</v>
      </c>
      <c r="G7" s="6" t="s">
        <v>582</v>
      </c>
    </row>
    <row r="8" customFormat="false" ht="90" hidden="false" customHeight="true" outlineLevel="0" collapsed="false">
      <c r="A8" s="6" t="s">
        <v>583</v>
      </c>
      <c r="B8" s="6" t="s">
        <v>63</v>
      </c>
      <c r="C8" s="6" t="s">
        <v>584</v>
      </c>
      <c r="D8" s="6" t="s">
        <v>585</v>
      </c>
      <c r="E8" s="6" t="s">
        <v>586</v>
      </c>
      <c r="F8" s="6" t="s">
        <v>587</v>
      </c>
      <c r="G8" s="6" t="s">
        <v>588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25" right="0.25" top="0.5" bottom="0.5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&amp;CREC-2024-017 | Sealed reference workpaper | As of 2025-06-09 12:00 EDT&amp;RPage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595959"/>
    <pageSetUpPr fitToPage="tru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2" min="1" style="0" width="58"/>
    <col collapsed="false" customWidth="true" hidden="false" outlineLevel="0" max="3" min="3" style="0" width="72.01"/>
    <col collapsed="false" customWidth="true" hidden="false" outlineLevel="0" max="4" min="4" style="0" width="47.01"/>
    <col collapsed="false" customWidth="true" hidden="false" outlineLevel="0" max="5" min="5" style="0" width="37.99"/>
  </cols>
  <sheetData>
    <row r="1" customFormat="false" ht="27.75" hidden="false" customHeight="true" outlineLevel="0" collapsed="false">
      <c r="A1" s="1" t="s">
        <v>589</v>
      </c>
      <c r="B1" s="1"/>
      <c r="C1" s="1"/>
      <c r="D1" s="1"/>
      <c r="E1" s="1"/>
    </row>
    <row r="2" customFormat="false" ht="31.5" hidden="false" customHeight="true" outlineLevel="0" collapsed="false">
      <c r="A2" s="2" t="s">
        <v>590</v>
      </c>
      <c r="B2" s="2"/>
      <c r="C2" s="2"/>
      <c r="D2" s="2"/>
      <c r="E2" s="2"/>
    </row>
    <row r="3" customFormat="false" ht="31.5" hidden="false" customHeight="true" outlineLevel="0" collapsed="false">
      <c r="A3" s="10" t="s">
        <v>591</v>
      </c>
      <c r="B3" s="10" t="s">
        <v>592</v>
      </c>
      <c r="C3" s="10" t="s">
        <v>593</v>
      </c>
      <c r="D3" s="10" t="s">
        <v>594</v>
      </c>
      <c r="E3" s="10" t="s">
        <v>595</v>
      </c>
    </row>
    <row r="4" customFormat="false" ht="75.75" hidden="false" customHeight="true" outlineLevel="0" collapsed="false">
      <c r="A4" s="6" t="s">
        <v>596</v>
      </c>
      <c r="B4" s="6" t="s">
        <v>597</v>
      </c>
      <c r="C4" s="6" t="s">
        <v>598</v>
      </c>
      <c r="D4" s="6" t="s">
        <v>599</v>
      </c>
      <c r="E4" s="6" t="s">
        <v>600</v>
      </c>
    </row>
    <row r="5" customFormat="false" ht="75.75" hidden="false" customHeight="true" outlineLevel="0" collapsed="false">
      <c r="A5" s="6" t="s">
        <v>601</v>
      </c>
      <c r="B5" s="6" t="s">
        <v>602</v>
      </c>
      <c r="C5" s="6" t="s">
        <v>603</v>
      </c>
      <c r="D5" s="6" t="s">
        <v>604</v>
      </c>
      <c r="E5" s="6" t="s">
        <v>605</v>
      </c>
    </row>
    <row r="6" customFormat="false" ht="75.75" hidden="false" customHeight="true" outlineLevel="0" collapsed="false">
      <c r="A6" s="6" t="s">
        <v>606</v>
      </c>
      <c r="B6" s="6" t="s">
        <v>607</v>
      </c>
      <c r="C6" s="6" t="s">
        <v>608</v>
      </c>
      <c r="D6" s="6" t="s">
        <v>609</v>
      </c>
      <c r="E6" s="6" t="s">
        <v>610</v>
      </c>
    </row>
    <row r="7" customFormat="false" ht="75.75" hidden="false" customHeight="true" outlineLevel="0" collapsed="false">
      <c r="A7" s="6" t="s">
        <v>611</v>
      </c>
      <c r="B7" s="6" t="s">
        <v>612</v>
      </c>
      <c r="C7" s="6" t="s">
        <v>613</v>
      </c>
      <c r="D7" s="6" t="s">
        <v>614</v>
      </c>
      <c r="E7" s="6" t="s">
        <v>615</v>
      </c>
    </row>
    <row r="8" customFormat="false" ht="75.75" hidden="false" customHeight="true" outlineLevel="0" collapsed="false">
      <c r="A8" s="6" t="s">
        <v>616</v>
      </c>
      <c r="B8" s="6" t="s">
        <v>617</v>
      </c>
      <c r="C8" s="6" t="s">
        <v>618</v>
      </c>
      <c r="D8" s="6" t="s">
        <v>619</v>
      </c>
      <c r="E8" s="6" t="s">
        <v>620</v>
      </c>
    </row>
    <row r="9" customFormat="false" ht="75.75" hidden="false" customHeight="true" outlineLevel="0" collapsed="false">
      <c r="A9" s="6" t="s">
        <v>621</v>
      </c>
      <c r="B9" s="6" t="s">
        <v>622</v>
      </c>
      <c r="C9" s="6" t="s">
        <v>623</v>
      </c>
      <c r="D9" s="6" t="s">
        <v>624</v>
      </c>
      <c r="E9" s="6" t="s">
        <v>625</v>
      </c>
    </row>
    <row r="10" customFormat="false" ht="75.75" hidden="false" customHeight="true" outlineLevel="0" collapsed="false">
      <c r="A10" s="6" t="s">
        <v>626</v>
      </c>
      <c r="B10" s="6" t="s">
        <v>627</v>
      </c>
      <c r="C10" s="6" t="s">
        <v>628</v>
      </c>
      <c r="D10" s="6" t="s">
        <v>629</v>
      </c>
      <c r="E10" s="6" t="s">
        <v>630</v>
      </c>
    </row>
    <row r="11" customFormat="false" ht="75.75" hidden="false" customHeight="true" outlineLevel="0" collapsed="false">
      <c r="A11" s="6" t="s">
        <v>631</v>
      </c>
      <c r="B11" s="6" t="s">
        <v>632</v>
      </c>
      <c r="C11" s="6" t="s">
        <v>633</v>
      </c>
      <c r="D11" s="6" t="s">
        <v>634</v>
      </c>
      <c r="E11" s="6" t="s">
        <v>635</v>
      </c>
    </row>
    <row r="12" customFormat="false" ht="75.75" hidden="false" customHeight="true" outlineLevel="0" collapsed="false">
      <c r="A12" s="6" t="s">
        <v>636</v>
      </c>
      <c r="B12" s="6" t="s">
        <v>637</v>
      </c>
      <c r="C12" s="6" t="s">
        <v>638</v>
      </c>
      <c r="D12" s="6" t="s">
        <v>639</v>
      </c>
      <c r="E12" s="6" t="s">
        <v>640</v>
      </c>
    </row>
    <row r="13" customFormat="false" ht="75.75" hidden="false" customHeight="true" outlineLevel="0" collapsed="false">
      <c r="A13" s="6" t="s">
        <v>641</v>
      </c>
      <c r="B13" s="6" t="s">
        <v>607</v>
      </c>
      <c r="C13" s="6" t="s">
        <v>642</v>
      </c>
      <c r="D13" s="6" t="s">
        <v>643</v>
      </c>
      <c r="E13" s="6" t="s">
        <v>644</v>
      </c>
    </row>
    <row r="14" customFormat="false" ht="75.75" hidden="false" customHeight="true" outlineLevel="0" collapsed="false">
      <c r="A14" s="6" t="s">
        <v>645</v>
      </c>
      <c r="B14" s="6" t="s">
        <v>646</v>
      </c>
      <c r="C14" s="6" t="s">
        <v>647</v>
      </c>
      <c r="D14" s="6" t="s">
        <v>648</v>
      </c>
      <c r="E14" s="6" t="s">
        <v>620</v>
      </c>
    </row>
    <row r="15" customFormat="false" ht="75.75" hidden="false" customHeight="true" outlineLevel="0" collapsed="false">
      <c r="A15" s="6" t="s">
        <v>649</v>
      </c>
      <c r="B15" s="6" t="s">
        <v>607</v>
      </c>
      <c r="C15" s="6" t="s">
        <v>650</v>
      </c>
      <c r="D15" s="6" t="s">
        <v>651</v>
      </c>
      <c r="E15" s="6" t="s">
        <v>644</v>
      </c>
    </row>
    <row r="16" customFormat="false" ht="75.75" hidden="false" customHeight="true" outlineLevel="0" collapsed="false">
      <c r="A16" s="6" t="s">
        <v>652</v>
      </c>
      <c r="B16" s="6" t="s">
        <v>653</v>
      </c>
      <c r="C16" s="6" t="s">
        <v>654</v>
      </c>
      <c r="D16" s="6" t="s">
        <v>655</v>
      </c>
      <c r="E16" s="6" t="s">
        <v>620</v>
      </c>
    </row>
    <row r="17" customFormat="false" ht="75.75" hidden="false" customHeight="true" outlineLevel="0" collapsed="false">
      <c r="A17" s="6" t="s">
        <v>656</v>
      </c>
      <c r="B17" s="6" t="s">
        <v>657</v>
      </c>
      <c r="C17" s="6" t="s">
        <v>658</v>
      </c>
      <c r="D17" s="6" t="s">
        <v>659</v>
      </c>
      <c r="E17" s="6" t="s">
        <v>660</v>
      </c>
    </row>
    <row r="18" customFormat="false" ht="75.75" hidden="false" customHeight="true" outlineLevel="0" collapsed="false">
      <c r="A18" s="6" t="s">
        <v>661</v>
      </c>
      <c r="B18" s="6" t="s">
        <v>662</v>
      </c>
      <c r="C18" s="6" t="s">
        <v>663</v>
      </c>
      <c r="D18" s="6" t="s">
        <v>664</v>
      </c>
      <c r="E18" s="6" t="s">
        <v>665</v>
      </c>
    </row>
    <row r="19" customFormat="false" ht="75.75" hidden="false" customHeight="true" outlineLevel="0" collapsed="false">
      <c r="A19" s="6" t="s">
        <v>666</v>
      </c>
      <c r="B19" s="6" t="s">
        <v>667</v>
      </c>
      <c r="C19" s="6" t="s">
        <v>668</v>
      </c>
      <c r="D19" s="6" t="s">
        <v>669</v>
      </c>
      <c r="E19" s="6" t="s">
        <v>670</v>
      </c>
    </row>
    <row r="20" customFormat="false" ht="75.75" hidden="false" customHeight="true" outlineLevel="0" collapsed="false">
      <c r="A20" s="6" t="s">
        <v>671</v>
      </c>
      <c r="B20" s="6" t="s">
        <v>672</v>
      </c>
      <c r="C20" s="6" t="s">
        <v>673</v>
      </c>
      <c r="D20" s="6" t="s">
        <v>674</v>
      </c>
      <c r="E20" s="6" t="s">
        <v>675</v>
      </c>
    </row>
    <row r="21" customFormat="false" ht="75.75" hidden="false" customHeight="true" outlineLevel="0" collapsed="false">
      <c r="A21" s="6" t="s">
        <v>676</v>
      </c>
      <c r="B21" s="6" t="s">
        <v>677</v>
      </c>
      <c r="C21" s="6" t="s">
        <v>678</v>
      </c>
      <c r="D21" s="6" t="s">
        <v>679</v>
      </c>
      <c r="E21" s="6" t="s">
        <v>680</v>
      </c>
    </row>
    <row r="22" customFormat="false" ht="75.75" hidden="false" customHeight="true" outlineLevel="0" collapsed="false">
      <c r="A22" s="6" t="s">
        <v>681</v>
      </c>
      <c r="B22" s="6" t="s">
        <v>682</v>
      </c>
      <c r="C22" s="6" t="s">
        <v>683</v>
      </c>
      <c r="D22" s="6" t="s">
        <v>684</v>
      </c>
      <c r="E22" s="6" t="s">
        <v>685</v>
      </c>
    </row>
    <row r="23" customFormat="false" ht="75.75" hidden="false" customHeight="true" outlineLevel="0" collapsed="false">
      <c r="A23" s="6" t="s">
        <v>686</v>
      </c>
      <c r="B23" s="6" t="s">
        <v>687</v>
      </c>
      <c r="C23" s="6" t="s">
        <v>688</v>
      </c>
      <c r="D23" s="6" t="s">
        <v>689</v>
      </c>
      <c r="E23" s="6" t="s">
        <v>690</v>
      </c>
    </row>
    <row r="24" customFormat="false" ht="75.75" hidden="false" customHeight="true" outlineLevel="0" collapsed="false">
      <c r="A24" s="6" t="s">
        <v>691</v>
      </c>
      <c r="B24" s="6" t="s">
        <v>692</v>
      </c>
      <c r="C24" s="6" t="s">
        <v>693</v>
      </c>
      <c r="D24" s="6" t="s">
        <v>694</v>
      </c>
      <c r="E24" s="6" t="s">
        <v>695</v>
      </c>
    </row>
    <row r="25" customFormat="false" ht="75.75" hidden="false" customHeight="true" outlineLevel="0" collapsed="false">
      <c r="A25" s="6" t="s">
        <v>696</v>
      </c>
      <c r="B25" s="6" t="s">
        <v>697</v>
      </c>
      <c r="C25" s="6" t="s">
        <v>698</v>
      </c>
      <c r="D25" s="6" t="s">
        <v>699</v>
      </c>
      <c r="E25" s="6" t="s">
        <v>700</v>
      </c>
    </row>
    <row r="26" customFormat="false" ht="75.75" hidden="false" customHeight="true" outlineLevel="0" collapsed="false">
      <c r="A26" s="6" t="s">
        <v>701</v>
      </c>
      <c r="B26" s="6" t="s">
        <v>702</v>
      </c>
      <c r="C26" s="6" t="s">
        <v>703</v>
      </c>
      <c r="D26" s="6" t="s">
        <v>704</v>
      </c>
      <c r="E26" s="6" t="s">
        <v>705</v>
      </c>
    </row>
  </sheetData>
  <autoFilter ref="A3:E26"/>
  <mergeCells count="2">
    <mergeCell ref="A1:E1"/>
    <mergeCell ref="A2:E2"/>
  </mergeCells>
  <printOptions headings="false" gridLines="false" gridLinesSet="true" horizontalCentered="false" verticalCentered="false"/>
  <pageMargins left="0.25" right="0.25" top="0.5" bottom="0.5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&amp;CREC-2024-017 | Sealed reference workpaper | As of 2025-06-09 12:00 EDT&amp;RPage &amp;P of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2026-08-28T04:11:08Z</dcterms:created>
  <dc:creator>Sealed Reference Producer</dc:creator>
  <dc:description>Auditable lot, registry, cure, cover, inventory, and invoice settlement workpaper.</dc:description>
  <dc:language>en-US</dc:language>
  <cp:lastModifiedBy/>
  <dcterms:modified xsi:type="dcterms:W3CDTF">2026-08-28T04:11:08Z</dcterms:modified>
  <cp:revision>0</cp:revision>
  <dc:subject>REC-2024-017 settlement as of 2025-06-09 12:00 EDT</dc:subject>
  <dc:title>CY2024 Massachusetts Class I REC Settlement Workpaper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